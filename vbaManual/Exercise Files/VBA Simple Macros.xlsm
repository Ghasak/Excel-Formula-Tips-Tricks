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deo1\Desktop\"/>
    </mc:Choice>
  </mc:AlternateContent>
  <bookViews>
    <workbookView xWindow="0" yWindow="0" windowWidth="23040" windowHeight="9192" tabRatio="743"/>
  </bookViews>
  <sheets>
    <sheet name="Custom Number Formatting" sheetId="4" r:id="rId1"/>
    <sheet name="Chart Generator" sheetId="8" r:id="rId2"/>
    <sheet name="Sort &amp; Filter" sheetId="9" r:id="rId3"/>
    <sheet name="Input Cells Color &amp; Unlock" sheetId="1" r:id="rId4"/>
    <sheet name="Test" sheetId="7" r:id="rId5"/>
    <sheet name="Macro for Millions" sheetId="5" r:id="rId6"/>
  </sheets>
  <externalReferences>
    <externalReference r:id="rId7"/>
    <externalReference r:id="rId8"/>
  </externalReferences>
  <definedNames>
    <definedName name="_xlnm._FilterDatabase" localSheetId="0" hidden="1">'Custom Number Formatting'!$B:$B</definedName>
    <definedName name="_xlnm._FilterDatabase" localSheetId="2" hidden="1">'Sort &amp; Filter'!$B:$B</definedName>
    <definedName name="BigTaxTable">[1]FifthLineFormatting!$F$3:$M$23</definedName>
    <definedName name="Dates">OFFSET([2]Dynamic!$A$2,0,0,COUNTA([2]Dynamic!$A$1:$A$65536)-1,1)</definedName>
    <definedName name="ee" localSheetId="1" hidden="1">{"FirstQ",#N/A,FALSE,"Budget2000";"SecondQ",#N/A,FALSE,"Budget2000";"Summary",#N/A,FALSE,"Budget2000"}</definedName>
    <definedName name="ee" localSheetId="5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_xlnm.Extract" localSheetId="2">[1]AutoFill!#REF!</definedName>
    <definedName name="Income" localSheetId="2">#REF!</definedName>
    <definedName name="Income">#REF!</definedName>
    <definedName name="k" localSheetId="1" hidden="1">{"FirstQ",#N/A,FALSE,"Budget2000";"SecondQ",#N/A,FALSE,"Budget2000";"Summary",#N/A,FALSE,"Budget2000"}</definedName>
    <definedName name="k" localSheetId="5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5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1" hidden="1">{"FirstQ",#N/A,FALSE,"Budget2000";"SecondQ",#N/A,FALSE,"Budget2000"}</definedName>
    <definedName name="rr" localSheetId="5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5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1" hidden="1">'Chart Generator'!$B$4:$E$4,'Chart Generator'!$B$5:$E$5</definedName>
    <definedName name="solver_cvg" localSheetId="1" hidden="1">0.0001</definedName>
    <definedName name="solver_cvg" localSheetId="5" hidden="1">0.0001</definedName>
    <definedName name="solver_drv" localSheetId="1" hidden="1">1</definedName>
    <definedName name="solver_drv" localSheetId="5" hidden="1">1</definedName>
    <definedName name="solver_est" localSheetId="1" hidden="1">1</definedName>
    <definedName name="solver_est" localSheetId="5" hidden="1">1</definedName>
    <definedName name="solver_itr" localSheetId="1" hidden="1">100</definedName>
    <definedName name="solver_itr" localSheetId="5" hidden="1">100</definedName>
    <definedName name="solver_lhs1" localSheetId="1" hidden="1">'Chart Generator'!$B$4:$E$4</definedName>
    <definedName name="solver_lhs1" localSheetId="5" hidden="1">'Macro for Millions'!$B$4</definedName>
    <definedName name="solver_lhs2" localSheetId="1" hidden="1">'Chart Generator'!$B$5:$E$5</definedName>
    <definedName name="solver_lhs2" localSheetId="5" hidden="1">'Macro for Millions'!$F$4</definedName>
    <definedName name="solver_lhs3" localSheetId="5" hidden="1">'Macro for Millions'!$J$4</definedName>
    <definedName name="solver_lhs4" localSheetId="5" hidden="1">'Macro for Millions'!$N$4</definedName>
    <definedName name="solver_lin" localSheetId="1" hidden="1">2</definedName>
    <definedName name="solver_lin" localSheetId="5" hidden="1">2</definedName>
    <definedName name="solver_neg" localSheetId="1" hidden="1">2</definedName>
    <definedName name="solver_neg" localSheetId="5" hidden="1">2</definedName>
    <definedName name="solver_num" localSheetId="1" hidden="1">2</definedName>
    <definedName name="solver_num" localSheetId="5" hidden="1">0</definedName>
    <definedName name="solver_nwt" localSheetId="1" hidden="1">1</definedName>
    <definedName name="solver_nwt" localSheetId="5" hidden="1">1</definedName>
    <definedName name="solver_opt" localSheetId="1" hidden="1">'Chart Generator'!$F$6</definedName>
    <definedName name="solver_pre" localSheetId="1" hidden="1">0.000001</definedName>
    <definedName name="solver_pre" localSheetId="5" hidden="1">0.000001</definedName>
    <definedName name="solver_rel1" localSheetId="1" hidden="1">1</definedName>
    <definedName name="solver_rel1" localSheetId="5" hidden="1">1</definedName>
    <definedName name="solver_rel2" localSheetId="1" hidden="1">1</definedName>
    <definedName name="solver_rel2" localSheetId="5" hidden="1">1</definedName>
    <definedName name="solver_rel3" localSheetId="5" hidden="1">1</definedName>
    <definedName name="solver_rel4" localSheetId="5" hidden="1">1</definedName>
    <definedName name="solver_rhs1" localSheetId="1" hidden="1">500</definedName>
    <definedName name="solver_rhs1" localSheetId="5" hidden="1">0.02</definedName>
    <definedName name="solver_rhs2" localSheetId="1" hidden="1">350</definedName>
    <definedName name="solver_rhs2" localSheetId="5" hidden="1">0.04</definedName>
    <definedName name="solver_rhs3" localSheetId="5" hidden="1">0.03</definedName>
    <definedName name="solver_rhs4" localSheetId="5" hidden="1">0.04</definedName>
    <definedName name="solver_scl" localSheetId="1" hidden="1">2</definedName>
    <definedName name="solver_scl" localSheetId="5" hidden="1">2</definedName>
    <definedName name="solver_sho" localSheetId="1" hidden="1">1</definedName>
    <definedName name="solver_sho" localSheetId="5" hidden="1">2</definedName>
    <definedName name="solver_tim" localSheetId="1" hidden="1">100</definedName>
    <definedName name="solver_tim" localSheetId="5" hidden="1">100</definedName>
    <definedName name="solver_tol" localSheetId="1" hidden="1">0.05</definedName>
    <definedName name="solver_tol" localSheetId="5" hidden="1">0.05</definedName>
    <definedName name="solver_typ" localSheetId="1" hidden="1">3</definedName>
    <definedName name="solver_typ" localSheetId="5" hidden="1">1</definedName>
    <definedName name="solver_val" localSheetId="1" hidden="1">500</definedName>
    <definedName name="solver_val" localSheetId="5" hidden="1">0</definedName>
    <definedName name="wrn.AllData." localSheetId="1" hidden="1">{"FirstQ",#N/A,FALSE,"Budget2000";"SecondQ",#N/A,FALSE,"Budget2000";"Summary",#N/A,FALSE,"Budget2000"}</definedName>
    <definedName name="wrn.AllData." localSheetId="5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5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5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5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'Custom Number Formatting'!$A$7:$F$705</definedName>
    <definedName name="Z_32E1B1E0_F29A_4FB3_9E7F_F78F245BC75E_.wvu.FilterData" localSheetId="2" hidden="1">'Sort &amp; Filter'!$A$3:$G$701</definedName>
    <definedName name="Z_32E1B1E0_F29A_4FB3_9E7F_F78F245BC75E_.wvu.PrintArea" localSheetId="0" hidden="1">'Custom Number Formatting'!$A$7:$F$705</definedName>
    <definedName name="Z_32E1B1E0_F29A_4FB3_9E7F_F78F245BC75E_.wvu.PrintArea" localSheetId="2" hidden="1">'Sort &amp; Filter'!$A$3:$G$701</definedName>
    <definedName name="Z_32E1B1E0_F29A_4FB3_9E7F_F78F245BC75E_.wvu.PrintTitles" localSheetId="0" hidden="1">'Custom Number Formatting'!$1:$1</definedName>
    <definedName name="Z_32E1B1E0_F29A_4FB3_9E7F_F78F245BC75E_.wvu.PrintTitles" localSheetId="2" hidden="1">'Sort &amp; Filter'!$1:$1</definedName>
    <definedName name="Z_32E1B1E0_F29A_4FB3_9E7F_F78F245BC75E_.wvu.Rows" localSheetId="5" hidden="1">'Macro for Millions'!$5:$6,'Macro for Millions'!$9:$11</definedName>
  </definedNames>
  <calcPr calcId="162913"/>
</workbook>
</file>

<file path=xl/calcChain.xml><?xml version="1.0" encoding="utf-8"?>
<calcChain xmlns="http://schemas.openxmlformats.org/spreadsheetml/2006/main">
  <c r="G10" i="8" l="1"/>
  <c r="G11" i="8"/>
  <c r="G9" i="8"/>
  <c r="F11" i="8"/>
  <c r="F10" i="8"/>
  <c r="F9" i="8"/>
  <c r="F4" i="8"/>
  <c r="G4" i="8"/>
  <c r="F5" i="8"/>
  <c r="G5" i="8"/>
  <c r="F13" i="8"/>
  <c r="C5" i="5" l="1"/>
  <c r="D5" i="5" s="1"/>
  <c r="C6" i="5"/>
  <c r="D6" i="5" s="1"/>
  <c r="F6" i="5" s="1"/>
  <c r="B7" i="5"/>
  <c r="C9" i="5"/>
  <c r="D9" i="5" s="1"/>
  <c r="C10" i="5"/>
  <c r="D10" i="5" s="1"/>
  <c r="F10" i="5" s="1"/>
  <c r="C11" i="5"/>
  <c r="D11" i="5" s="1"/>
  <c r="F11" i="5" s="1"/>
  <c r="B12" i="5"/>
  <c r="C15" i="5"/>
  <c r="D15" i="5" s="1"/>
  <c r="F15" i="5" s="1"/>
  <c r="G15" i="5" s="1"/>
  <c r="C16" i="5"/>
  <c r="D16" i="5" s="1"/>
  <c r="F16" i="5" s="1"/>
  <c r="G16" i="5" s="1"/>
  <c r="H16" i="5" s="1"/>
  <c r="J16" i="5" s="1"/>
  <c r="E16" i="5"/>
  <c r="C17" i="5"/>
  <c r="D17" i="5" s="1"/>
  <c r="F17" i="5" s="1"/>
  <c r="G17" i="5" s="1"/>
  <c r="H17" i="5" s="1"/>
  <c r="J17" i="5" s="1"/>
  <c r="C18" i="5"/>
  <c r="D18" i="5" s="1"/>
  <c r="E18" i="5"/>
  <c r="F18" i="5"/>
  <c r="G18" i="5" s="1"/>
  <c r="H18" i="5" s="1"/>
  <c r="J18" i="5" s="1"/>
  <c r="C19" i="5"/>
  <c r="D19" i="5" s="1"/>
  <c r="F19" i="5" s="1"/>
  <c r="G19" i="5" s="1"/>
  <c r="H19" i="5" s="1"/>
  <c r="J19" i="5" s="1"/>
  <c r="C20" i="5"/>
  <c r="D20" i="5" s="1"/>
  <c r="F20" i="5" s="1"/>
  <c r="G20" i="5" s="1"/>
  <c r="H20" i="5" s="1"/>
  <c r="J20" i="5" s="1"/>
  <c r="C21" i="5"/>
  <c r="D21" i="5" s="1"/>
  <c r="F21" i="5" s="1"/>
  <c r="G21" i="5" s="1"/>
  <c r="H21" i="5" s="1"/>
  <c r="J21" i="5" s="1"/>
  <c r="C22" i="5"/>
  <c r="D22" i="5" s="1"/>
  <c r="F22" i="5" s="1"/>
  <c r="G22" i="5" s="1"/>
  <c r="H22" i="5" s="1"/>
  <c r="J22" i="5" s="1"/>
  <c r="C23" i="5"/>
  <c r="D23" i="5" s="1"/>
  <c r="F23" i="5" s="1"/>
  <c r="G23" i="5" s="1"/>
  <c r="H23" i="5" s="1"/>
  <c r="J23" i="5" s="1"/>
  <c r="C24" i="5"/>
  <c r="D24" i="5" s="1"/>
  <c r="F24" i="5" s="1"/>
  <c r="G24" i="5" s="1"/>
  <c r="H24" i="5" s="1"/>
  <c r="J24" i="5" s="1"/>
  <c r="C25" i="5"/>
  <c r="D25" i="5" s="1"/>
  <c r="F25" i="5" s="1"/>
  <c r="G25" i="5" s="1"/>
  <c r="H25" i="5" s="1"/>
  <c r="J25" i="5" s="1"/>
  <c r="C26" i="5"/>
  <c r="D26" i="5" s="1"/>
  <c r="F26" i="5" s="1"/>
  <c r="G26" i="5" s="1"/>
  <c r="H26" i="5" s="1"/>
  <c r="J26" i="5" s="1"/>
  <c r="C27" i="5"/>
  <c r="D27" i="5" s="1"/>
  <c r="F27" i="5"/>
  <c r="G27" i="5" s="1"/>
  <c r="H27" i="5" s="1"/>
  <c r="J27" i="5" s="1"/>
  <c r="C28" i="5"/>
  <c r="D28" i="5" s="1"/>
  <c r="F28" i="5" s="1"/>
  <c r="G28" i="5" s="1"/>
  <c r="H28" i="5" s="1"/>
  <c r="J28" i="5" s="1"/>
  <c r="C29" i="5"/>
  <c r="C30" i="5"/>
  <c r="D30" i="5" s="1"/>
  <c r="F30" i="5" s="1"/>
  <c r="B31" i="5"/>
  <c r="B13" i="5" l="1"/>
  <c r="B32" i="5" s="1"/>
  <c r="C7" i="5"/>
  <c r="E22" i="5"/>
  <c r="E26" i="5"/>
  <c r="D7" i="5"/>
  <c r="F5" i="5"/>
  <c r="G5" i="5" s="1"/>
  <c r="E27" i="5"/>
  <c r="E23" i="5"/>
  <c r="E19" i="5"/>
  <c r="E15" i="5"/>
  <c r="E6" i="5"/>
  <c r="E5" i="5"/>
  <c r="E7" i="5" s="1"/>
  <c r="E30" i="5"/>
  <c r="E28" i="5"/>
  <c r="E24" i="5"/>
  <c r="E20" i="5"/>
  <c r="C31" i="5"/>
  <c r="D29" i="5"/>
  <c r="F29" i="5" s="1"/>
  <c r="G29" i="5" s="1"/>
  <c r="H29" i="5" s="1"/>
  <c r="J29" i="5" s="1"/>
  <c r="E25" i="5"/>
  <c r="E21" i="5"/>
  <c r="E17" i="5"/>
  <c r="D31" i="5"/>
  <c r="K27" i="5"/>
  <c r="L27" i="5" s="1"/>
  <c r="N27" i="5" s="1"/>
  <c r="G11" i="5"/>
  <c r="H11" i="5" s="1"/>
  <c r="J11" i="5" s="1"/>
  <c r="K24" i="5"/>
  <c r="L24" i="5" s="1"/>
  <c r="N24" i="5" s="1"/>
  <c r="K20" i="5"/>
  <c r="L20" i="5" s="1"/>
  <c r="N20" i="5" s="1"/>
  <c r="K16" i="5"/>
  <c r="L16" i="5" s="1"/>
  <c r="N16" i="5" s="1"/>
  <c r="G10" i="5"/>
  <c r="H10" i="5" s="1"/>
  <c r="J10" i="5" s="1"/>
  <c r="K19" i="5"/>
  <c r="L19" i="5" s="1"/>
  <c r="N19" i="5" s="1"/>
  <c r="K28" i="5"/>
  <c r="L28" i="5" s="1"/>
  <c r="N28" i="5" s="1"/>
  <c r="K25" i="5"/>
  <c r="L25" i="5" s="1"/>
  <c r="N25" i="5" s="1"/>
  <c r="K21" i="5"/>
  <c r="L21" i="5" s="1"/>
  <c r="N21" i="5" s="1"/>
  <c r="K17" i="5"/>
  <c r="L17" i="5" s="1"/>
  <c r="N17" i="5" s="1"/>
  <c r="F9" i="5"/>
  <c r="D12" i="5"/>
  <c r="D13" i="5" s="1"/>
  <c r="G6" i="5"/>
  <c r="H6" i="5" s="1"/>
  <c r="J6" i="5" s="1"/>
  <c r="K23" i="5"/>
  <c r="L23" i="5" s="1"/>
  <c r="N23" i="5" s="1"/>
  <c r="H15" i="5"/>
  <c r="G30" i="5"/>
  <c r="H30" i="5" s="1"/>
  <c r="J30" i="5" s="1"/>
  <c r="K26" i="5"/>
  <c r="L26" i="5" s="1"/>
  <c r="N26" i="5" s="1"/>
  <c r="K22" i="5"/>
  <c r="L22" i="5" s="1"/>
  <c r="N22" i="5" s="1"/>
  <c r="K18" i="5"/>
  <c r="L18" i="5" s="1"/>
  <c r="N18" i="5" s="1"/>
  <c r="F7" i="5"/>
  <c r="I27" i="5"/>
  <c r="I25" i="5"/>
  <c r="I23" i="5"/>
  <c r="I21" i="5"/>
  <c r="I19" i="5"/>
  <c r="I16" i="5"/>
  <c r="E11" i="5"/>
  <c r="E10" i="5"/>
  <c r="E9" i="5"/>
  <c r="I28" i="5"/>
  <c r="I26" i="5"/>
  <c r="I24" i="5"/>
  <c r="I22" i="5"/>
  <c r="I20" i="5"/>
  <c r="I18" i="5"/>
  <c r="I17" i="5"/>
  <c r="C12" i="5"/>
  <c r="C13" i="5" s="1"/>
  <c r="C32" i="5" s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10" i="1"/>
  <c r="M22" i="5" l="1"/>
  <c r="F31" i="5"/>
  <c r="I30" i="5"/>
  <c r="D32" i="5"/>
  <c r="M21" i="5"/>
  <c r="M20" i="5"/>
  <c r="I10" i="5"/>
  <c r="E29" i="5"/>
  <c r="E31" i="5" s="1"/>
  <c r="H31" i="5"/>
  <c r="J15" i="5"/>
  <c r="O25" i="5"/>
  <c r="P25" i="5" s="1"/>
  <c r="O22" i="5"/>
  <c r="P22" i="5" s="1"/>
  <c r="M26" i="5"/>
  <c r="K30" i="5"/>
  <c r="L30" i="5" s="1"/>
  <c r="N30" i="5" s="1"/>
  <c r="I6" i="5"/>
  <c r="O21" i="5"/>
  <c r="P21" i="5" s="1"/>
  <c r="M25" i="5"/>
  <c r="M28" i="5"/>
  <c r="O20" i="5"/>
  <c r="P20" i="5" s="1"/>
  <c r="M24" i="5"/>
  <c r="E12" i="5"/>
  <c r="E13" i="5" s="1"/>
  <c r="G9" i="5"/>
  <c r="F12" i="5"/>
  <c r="F13" i="5" s="1"/>
  <c r="F32" i="5" s="1"/>
  <c r="O24" i="5"/>
  <c r="P24" i="5" s="1"/>
  <c r="K29" i="5"/>
  <c r="L29" i="5" s="1"/>
  <c r="N29" i="5" s="1"/>
  <c r="O23" i="5"/>
  <c r="P23" i="5" s="1"/>
  <c r="O17" i="5"/>
  <c r="P17" i="5" s="1"/>
  <c r="Q17" i="5"/>
  <c r="O19" i="5"/>
  <c r="P19" i="5" s="1"/>
  <c r="O16" i="5"/>
  <c r="P16" i="5" s="1"/>
  <c r="K11" i="5"/>
  <c r="L11" i="5" s="1"/>
  <c r="N11" i="5" s="1"/>
  <c r="O27" i="5"/>
  <c r="P27" i="5" s="1"/>
  <c r="O26" i="5"/>
  <c r="P26" i="5" s="1"/>
  <c r="O28" i="5"/>
  <c r="P28" i="5" s="1"/>
  <c r="O18" i="5"/>
  <c r="P18" i="5" s="1"/>
  <c r="K6" i="5"/>
  <c r="L6" i="5" s="1"/>
  <c r="N6" i="5" s="1"/>
  <c r="I15" i="5"/>
  <c r="H5" i="5"/>
  <c r="G7" i="5"/>
  <c r="M18" i="5"/>
  <c r="I29" i="5"/>
  <c r="G31" i="5"/>
  <c r="M23" i="5"/>
  <c r="M17" i="5"/>
  <c r="M19" i="5"/>
  <c r="K10" i="5"/>
  <c r="L10" i="5" s="1"/>
  <c r="N10" i="5" s="1"/>
  <c r="M16" i="5"/>
  <c r="I11" i="5"/>
  <c r="M27" i="5"/>
  <c r="F11" i="1"/>
  <c r="F12" i="1"/>
  <c r="H12" i="1" s="1"/>
  <c r="I12" i="1" s="1"/>
  <c r="F13" i="1"/>
  <c r="F14" i="1"/>
  <c r="H14" i="1" s="1"/>
  <c r="I14" i="1" s="1"/>
  <c r="F15" i="1"/>
  <c r="F16" i="1"/>
  <c r="H16" i="1" s="1"/>
  <c r="I16" i="1" s="1"/>
  <c r="F17" i="1"/>
  <c r="F18" i="1"/>
  <c r="H18" i="1" s="1"/>
  <c r="I18" i="1" s="1"/>
  <c r="F19" i="1"/>
  <c r="H19" i="1" s="1"/>
  <c r="I19" i="1" s="1"/>
  <c r="F20" i="1"/>
  <c r="H20" i="1" s="1"/>
  <c r="I20" i="1" s="1"/>
  <c r="F21" i="1"/>
  <c r="F22" i="1"/>
  <c r="H22" i="1" s="1"/>
  <c r="I22" i="1" s="1"/>
  <c r="F23" i="1"/>
  <c r="H23" i="1" s="1"/>
  <c r="I23" i="1" s="1"/>
  <c r="F24" i="1"/>
  <c r="H24" i="1" s="1"/>
  <c r="I24" i="1" s="1"/>
  <c r="F10" i="1"/>
  <c r="R17" i="5" l="1"/>
  <c r="M6" i="5"/>
  <c r="E32" i="5"/>
  <c r="M11" i="5"/>
  <c r="Q27" i="5"/>
  <c r="R27" i="5" s="1"/>
  <c r="Q16" i="5"/>
  <c r="R16" i="5" s="1"/>
  <c r="Q24" i="5"/>
  <c r="R24" i="5" s="1"/>
  <c r="H9" i="5"/>
  <c r="G12" i="5"/>
  <c r="G13" i="5" s="1"/>
  <c r="G32" i="5" s="1"/>
  <c r="O10" i="5"/>
  <c r="P10" i="5" s="1"/>
  <c r="O29" i="5"/>
  <c r="P29" i="5" s="1"/>
  <c r="I9" i="5"/>
  <c r="M30" i="5"/>
  <c r="O30" i="5"/>
  <c r="P30" i="5" s="1"/>
  <c r="K15" i="5"/>
  <c r="J31" i="5"/>
  <c r="M10" i="5"/>
  <c r="H7" i="5"/>
  <c r="J5" i="5"/>
  <c r="I5" i="5"/>
  <c r="O6" i="5"/>
  <c r="P6" i="5" s="1"/>
  <c r="Q28" i="5"/>
  <c r="R28" i="5" s="1"/>
  <c r="M29" i="5"/>
  <c r="Q20" i="5"/>
  <c r="R20" i="5" s="1"/>
  <c r="Q21" i="5"/>
  <c r="R21" i="5" s="1"/>
  <c r="Q25" i="5"/>
  <c r="R25" i="5" s="1"/>
  <c r="I31" i="5"/>
  <c r="Q18" i="5"/>
  <c r="R18" i="5" s="1"/>
  <c r="Q26" i="5"/>
  <c r="R26" i="5" s="1"/>
  <c r="O11" i="5"/>
  <c r="P11" i="5" s="1"/>
  <c r="Q19" i="5"/>
  <c r="R19" i="5" s="1"/>
  <c r="Q23" i="5"/>
  <c r="R23" i="5" s="1"/>
  <c r="Q22" i="5"/>
  <c r="R22" i="5" s="1"/>
  <c r="H15" i="1"/>
  <c r="I15" i="1" s="1"/>
  <c r="H11" i="1"/>
  <c r="H10" i="1"/>
  <c r="H21" i="1"/>
  <c r="H17" i="1"/>
  <c r="I17" i="1" s="1"/>
  <c r="H13" i="1"/>
  <c r="J22" i="1"/>
  <c r="J14" i="1"/>
  <c r="J18" i="1"/>
  <c r="J24" i="1"/>
  <c r="J20" i="1"/>
  <c r="J16" i="1"/>
  <c r="J12" i="1"/>
  <c r="J23" i="1"/>
  <c r="J19" i="1"/>
  <c r="J15" i="1"/>
  <c r="Q6" i="5" l="1"/>
  <c r="R6" i="5" s="1"/>
  <c r="Q10" i="5"/>
  <c r="R10" i="5" s="1"/>
  <c r="I12" i="5"/>
  <c r="I7" i="5"/>
  <c r="Q30" i="5"/>
  <c r="Q29" i="5"/>
  <c r="R29" i="5" s="1"/>
  <c r="Q11" i="5"/>
  <c r="R11" i="5" s="1"/>
  <c r="K5" i="5"/>
  <c r="J7" i="5"/>
  <c r="L15" i="5"/>
  <c r="K31" i="5"/>
  <c r="R30" i="5"/>
  <c r="J9" i="5"/>
  <c r="H12" i="5"/>
  <c r="H13" i="5" s="1"/>
  <c r="H32" i="5" s="1"/>
  <c r="J10" i="1"/>
  <c r="I10" i="1"/>
  <c r="I21" i="1"/>
  <c r="J21" i="1" s="1"/>
  <c r="J13" i="1"/>
  <c r="I13" i="1"/>
  <c r="I11" i="1"/>
  <c r="J11" i="1" s="1"/>
  <c r="J17" i="1"/>
  <c r="I13" i="5" l="1"/>
  <c r="I32" i="5" s="1"/>
  <c r="K9" i="5"/>
  <c r="J12" i="5"/>
  <c r="J13" i="5" s="1"/>
  <c r="J32" i="5" s="1"/>
  <c r="L5" i="5"/>
  <c r="K7" i="5"/>
  <c r="L31" i="5"/>
  <c r="N15" i="5"/>
  <c r="M15" i="5"/>
  <c r="B6" i="8"/>
  <c r="C6" i="8"/>
  <c r="C15" i="8" s="1"/>
  <c r="D6" i="8"/>
  <c r="D15" i="8" s="1"/>
  <c r="E6" i="8"/>
  <c r="C9" i="8"/>
  <c r="D9" i="8"/>
  <c r="E9" i="8"/>
  <c r="C10" i="8"/>
  <c r="D10" i="8"/>
  <c r="E10" i="8"/>
  <c r="B13" i="8"/>
  <c r="C13" i="8"/>
  <c r="D13" i="8"/>
  <c r="E13" i="8"/>
  <c r="P37" i="7"/>
  <c r="Q37" i="7" s="1"/>
  <c r="P36" i="7"/>
  <c r="Q36" i="7" s="1"/>
  <c r="Q35" i="7"/>
  <c r="Q34" i="7"/>
  <c r="Q33" i="7"/>
  <c r="Q32" i="7"/>
  <c r="F40" i="7"/>
  <c r="B40" i="7"/>
  <c r="I40" i="7" s="1"/>
  <c r="F34" i="7"/>
  <c r="B34" i="7"/>
  <c r="F28" i="7"/>
  <c r="B28" i="7"/>
  <c r="I28" i="7" s="1"/>
  <c r="F22" i="7"/>
  <c r="B22" i="7"/>
  <c r="I22" i="7" s="1"/>
  <c r="P12" i="7"/>
  <c r="P14" i="7" s="1"/>
  <c r="B9" i="7"/>
  <c r="E15" i="7" s="1"/>
  <c r="Q8" i="7"/>
  <c r="F7" i="7"/>
  <c r="L18" i="7" s="1"/>
  <c r="Q5" i="7"/>
  <c r="C11" i="8" l="1"/>
  <c r="B7" i="8"/>
  <c r="F6" i="8"/>
  <c r="G6" i="8"/>
  <c r="E11" i="8"/>
  <c r="D14" i="8"/>
  <c r="L9" i="5"/>
  <c r="K12" i="5"/>
  <c r="K13" i="5" s="1"/>
  <c r="K32" i="5" s="1"/>
  <c r="N31" i="5"/>
  <c r="O15" i="5"/>
  <c r="M31" i="5"/>
  <c r="N5" i="5"/>
  <c r="L7" i="5"/>
  <c r="M5" i="5"/>
  <c r="B15" i="7"/>
  <c r="C7" i="8"/>
  <c r="D7" i="8" s="1"/>
  <c r="E7" i="8" s="1"/>
  <c r="L7" i="7"/>
  <c r="H11" i="7"/>
  <c r="H12" i="7" s="1"/>
  <c r="H13" i="7" s="1"/>
  <c r="I29" i="7"/>
  <c r="B12" i="7"/>
  <c r="P35" i="7"/>
  <c r="E15" i="8"/>
  <c r="C14" i="8"/>
  <c r="D11" i="8"/>
  <c r="L6" i="7"/>
  <c r="Q25" i="7"/>
  <c r="I34" i="7"/>
  <c r="I41" i="7" s="1"/>
  <c r="P29" i="7" s="1"/>
  <c r="L9" i="7"/>
  <c r="B15" i="8"/>
  <c r="E14" i="8"/>
  <c r="B14" i="8"/>
  <c r="Q21" i="7"/>
  <c r="Q22" i="7" s="1"/>
  <c r="F15" i="7"/>
  <c r="L4" i="7"/>
  <c r="I7" i="7"/>
  <c r="L8" i="7"/>
  <c r="I9" i="7"/>
  <c r="P11" i="7"/>
  <c r="P13" i="7" s="1"/>
  <c r="L15" i="7"/>
  <c r="L17" i="7"/>
  <c r="M17" i="7" s="1"/>
  <c r="F8" i="7"/>
  <c r="M18" i="7" s="1"/>
  <c r="L10" i="7"/>
  <c r="L12" i="7"/>
  <c r="L13" i="7"/>
  <c r="M13" i="7" s="1"/>
  <c r="L5" i="7"/>
  <c r="M5" i="7" s="1"/>
  <c r="L11" i="7"/>
  <c r="L14" i="7"/>
  <c r="L16" i="7"/>
  <c r="M16" i="7" s="1"/>
  <c r="F14" i="8" l="1"/>
  <c r="F15" i="8"/>
  <c r="M7" i="5"/>
  <c r="P15" i="5"/>
  <c r="P31" i="5" s="1"/>
  <c r="O31" i="5"/>
  <c r="N9" i="5"/>
  <c r="L12" i="5"/>
  <c r="L13" i="5" s="1"/>
  <c r="L32" i="5" s="1"/>
  <c r="M9" i="5"/>
  <c r="O5" i="5"/>
  <c r="N7" i="5"/>
  <c r="M9" i="7"/>
  <c r="Q26" i="7"/>
  <c r="M8" i="7"/>
  <c r="M7" i="7"/>
  <c r="M11" i="7"/>
  <c r="M10" i="7"/>
  <c r="Q29" i="7"/>
  <c r="M4" i="7"/>
  <c r="M14" i="7"/>
  <c r="M12" i="7"/>
  <c r="M15" i="7"/>
  <c r="M6" i="7"/>
  <c r="Q15" i="5" l="1"/>
  <c r="O9" i="5"/>
  <c r="N12" i="5"/>
  <c r="N13" i="5" s="1"/>
  <c r="N32" i="5" s="1"/>
  <c r="M12" i="5"/>
  <c r="M13" i="5" s="1"/>
  <c r="M32" i="5" s="1"/>
  <c r="O7" i="5"/>
  <c r="P5" i="5"/>
  <c r="P9" i="5" l="1"/>
  <c r="O12" i="5"/>
  <c r="O13" i="5" s="1"/>
  <c r="O32" i="5" s="1"/>
  <c r="P7" i="5"/>
  <c r="Q5" i="5"/>
  <c r="Q31" i="5"/>
  <c r="R15" i="5"/>
  <c r="R31" i="5" s="1"/>
  <c r="P12" i="5" l="1"/>
  <c r="Q9" i="5"/>
  <c r="P13" i="5"/>
  <c r="P32" i="5" s="1"/>
  <c r="Q7" i="5"/>
  <c r="R5" i="5"/>
  <c r="R7" i="5" s="1"/>
  <c r="Q12" i="5" l="1"/>
  <c r="Q13" i="5" s="1"/>
  <c r="Q32" i="5" s="1"/>
  <c r="R9" i="5"/>
  <c r="R12" i="5" s="1"/>
  <c r="R13" i="5" s="1"/>
  <c r="R32" i="5" s="1"/>
  <c r="I1" i="5" s="1"/>
</calcChain>
</file>

<file path=xl/comments1.xml><?xml version="1.0" encoding="utf-8"?>
<comments xmlns="http://schemas.openxmlformats.org/spreadsheetml/2006/main">
  <authors>
    <author>Dennis Taylor</author>
  </authors>
  <commentList>
    <comment ref="G9" authorId="0" shapeId="0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<sst xmlns="http://schemas.openxmlformats.org/spreadsheetml/2006/main" count="9346" uniqueCount="1961">
  <si>
    <t>Department</t>
  </si>
  <si>
    <t>SS#</t>
  </si>
  <si>
    <t>Phone</t>
  </si>
  <si>
    <t>Status</t>
  </si>
  <si>
    <t>Tax Rate</t>
  </si>
  <si>
    <t>Operations</t>
  </si>
  <si>
    <t>Contract</t>
  </si>
  <si>
    <t>Jan</t>
  </si>
  <si>
    <t>Jul</t>
  </si>
  <si>
    <t>Manufacturing</t>
  </si>
  <si>
    <t>Full Time</t>
  </si>
  <si>
    <t>Feb</t>
  </si>
  <si>
    <t>Aug</t>
  </si>
  <si>
    <t>Mar</t>
  </si>
  <si>
    <t>Sep</t>
  </si>
  <si>
    <t>Apr</t>
  </si>
  <si>
    <t>Oct</t>
  </si>
  <si>
    <t>Project &amp; Contract Services</t>
  </si>
  <si>
    <t>Half-Time</t>
  </si>
  <si>
    <t>May</t>
  </si>
  <si>
    <t>Nov</t>
  </si>
  <si>
    <t>Jun</t>
  </si>
  <si>
    <t>Dec</t>
  </si>
  <si>
    <t>Quality Control</t>
  </si>
  <si>
    <t>International Clinical Safety</t>
  </si>
  <si>
    <t>Quality Assurance</t>
  </si>
  <si>
    <t>Peptide Chemistry</t>
  </si>
  <si>
    <t>Process Development</t>
  </si>
  <si>
    <t>Engineering/Maintenance</t>
  </si>
  <si>
    <t>Admin Training</t>
  </si>
  <si>
    <t>Professional Training Group</t>
  </si>
  <si>
    <t>Logistics</t>
  </si>
  <si>
    <t>Major Mfg Projects</t>
  </si>
  <si>
    <t>Hourly</t>
  </si>
  <si>
    <t>Manufacturing Admin</t>
  </si>
  <si>
    <t>Environmental Health/Safety</t>
  </si>
  <si>
    <t>Audit Services</t>
  </si>
  <si>
    <t>ADC</t>
  </si>
  <si>
    <t>Compliance</t>
  </si>
  <si>
    <t>Engineering/Operations</t>
  </si>
  <si>
    <t>Executive Education</t>
  </si>
  <si>
    <t>Research/Development</t>
  </si>
  <si>
    <t>Research Center</t>
  </si>
  <si>
    <t>Pharmacokinetics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</si>
  <si>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</si>
  <si>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</si>
  <si>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</si>
  <si>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</si>
  <si>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</si>
  <si>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</si>
  <si>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</si>
  <si>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</si>
  <si>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</si>
  <si>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</si>
  <si>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</si>
  <si>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</si>
  <si>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</si>
  <si>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</si>
  <si>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</si>
  <si>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</si>
  <si>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</si>
  <si>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</si>
  <si>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</si>
  <si>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</si>
  <si>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</si>
  <si>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</si>
  <si>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</si>
  <si>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</si>
  <si>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</si>
  <si>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</si>
  <si>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</si>
  <si>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</si>
  <si>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</si>
  <si>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</si>
  <si>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</si>
  <si>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</si>
  <si>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</si>
  <si>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</si>
  <si>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</si>
  <si>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</si>
  <si>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</si>
  <si>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</si>
  <si>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</si>
  <si>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</si>
  <si>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</si>
  <si>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</si>
  <si>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</si>
  <si>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</si>
  <si>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</si>
  <si>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</si>
  <si>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</si>
  <si>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</si>
  <si>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</si>
  <si>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</si>
  <si>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</si>
  <si>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</si>
  <si>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</si>
  <si>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</si>
  <si>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</si>
  <si>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</si>
  <si>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</si>
  <si>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</si>
  <si>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</si>
  <si>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</si>
  <si>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</si>
  <si>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</si>
  <si>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</si>
  <si>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</si>
  <si>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</si>
  <si>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</si>
  <si>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</si>
  <si>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</si>
  <si>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</si>
  <si>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</si>
  <si>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</si>
  <si>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</si>
  <si>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</si>
  <si>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</si>
  <si>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</si>
  <si>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</si>
  <si>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</si>
  <si>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</si>
  <si>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</si>
  <si>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</si>
  <si>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</si>
  <si>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</si>
  <si>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</si>
  <si>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</si>
  <si>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</si>
  <si>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</si>
  <si>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</si>
  <si>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</si>
  <si>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 xml:space="preserve">Total wt. </t>
  </si>
  <si>
    <t>Weight E</t>
  </si>
  <si>
    <t>Weight F</t>
  </si>
  <si>
    <t>Weight G</t>
  </si>
  <si>
    <t>Weight H</t>
  </si>
  <si>
    <t>DiskDrives</t>
  </si>
  <si>
    <t>StorageSlots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</si>
  <si>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</si>
  <si>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</si>
  <si>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</si>
  <si>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</si>
  <si>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</si>
  <si>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</si>
  <si>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</si>
  <si>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</si>
  <si>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</si>
  <si>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</si>
  <si>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</si>
  <si>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Weight G+H</t>
  </si>
  <si>
    <t>Weight E+F</t>
  </si>
  <si>
    <t>Weigth C+D</t>
  </si>
  <si>
    <t>Weigth A+B</t>
  </si>
  <si>
    <t>Macro for Input Cells &amp; Sheet Protection</t>
  </si>
  <si>
    <t xml:space="preserve">Last Name  </t>
  </si>
  <si>
    <t>First Name</t>
  </si>
  <si>
    <t>Rate ($)</t>
  </si>
  <si>
    <t>Reg. Hours</t>
  </si>
  <si>
    <t>OT Hours</t>
  </si>
  <si>
    <t>Reg Pay</t>
  </si>
  <si>
    <t>OT Pay</t>
  </si>
  <si>
    <t>Total Pay</t>
  </si>
  <si>
    <t>Taxes Withheld</t>
  </si>
  <si>
    <t>Net pay</t>
  </si>
  <si>
    <t>Smith</t>
  </si>
  <si>
    <t>Brian</t>
  </si>
  <si>
    <t>Johnson</t>
  </si>
  <si>
    <t>Brittany</t>
  </si>
  <si>
    <t>Mickeley</t>
  </si>
  <si>
    <t>Annie</t>
  </si>
  <si>
    <t>Houser</t>
  </si>
  <si>
    <t>Gregory</t>
  </si>
  <si>
    <t>Jackson</t>
  </si>
  <si>
    <t>Jarred</t>
  </si>
  <si>
    <t>Potter</t>
  </si>
  <si>
    <t>Sarah</t>
  </si>
  <si>
    <t>Scott</t>
  </si>
  <si>
    <t>Zachary</t>
  </si>
  <si>
    <t>Butler</t>
  </si>
  <si>
    <t>Angela</t>
  </si>
  <si>
    <t>Jones</t>
  </si>
  <si>
    <t>Henderson</t>
  </si>
  <si>
    <t>Odie</t>
  </si>
  <si>
    <t>Hawkins</t>
  </si>
  <si>
    <t>Barbara</t>
  </si>
  <si>
    <t xml:space="preserve">White </t>
  </si>
  <si>
    <t>Darlene</t>
  </si>
  <si>
    <t>Douglas</t>
  </si>
  <si>
    <t>Tracey</t>
  </si>
  <si>
    <t>Evans</t>
  </si>
  <si>
    <t>Michelle</t>
  </si>
  <si>
    <t>Bliss</t>
  </si>
  <si>
    <t>Kyle</t>
  </si>
  <si>
    <t>Employee Payroll</t>
  </si>
  <si>
    <t>Record a Macro that:</t>
  </si>
  <si>
    <t>1. Find all cells with Number Constants</t>
  </si>
  <si>
    <t>2. Formats them with a fill color</t>
  </si>
  <si>
    <t>4. Protects the Sheet</t>
  </si>
  <si>
    <t>PRACTICE::: Record a Macro that converts numbers into millions display (#,##0.0,,)</t>
  </si>
  <si>
    <t>3. Unlock them</t>
  </si>
  <si>
    <t>OT Rate</t>
  </si>
  <si>
    <t>LearniT Anytime - Online Learning!</t>
  </si>
  <si>
    <t>Total Net Profit</t>
  </si>
  <si>
    <t>Online Sales - Net Profit Calculations</t>
  </si>
  <si>
    <t>Howard</t>
  </si>
  <si>
    <t>Gonzales</t>
  </si>
  <si>
    <t>Joe</t>
  </si>
  <si>
    <t>Scote</t>
  </si>
  <si>
    <t>Gail</t>
  </si>
  <si>
    <t>Kane</t>
  </si>
  <si>
    <t>Sheryl</t>
  </si>
  <si>
    <t>Hapsbuch</t>
  </si>
  <si>
    <t>Kendrick</t>
  </si>
  <si>
    <t>Henders</t>
  </si>
  <si>
    <t>Mark</t>
  </si>
  <si>
    <t>Atherton</t>
  </si>
  <si>
    <t>Katie</t>
  </si>
  <si>
    <t>Bellwood</t>
  </si>
  <si>
    <t>Frank</t>
  </si>
  <si>
    <t>Cooper</t>
  </si>
  <si>
    <t>Linda</t>
  </si>
  <si>
    <t>Cronwith</t>
  </si>
  <si>
    <t>Brent</t>
  </si>
  <si>
    <t>Simpson</t>
  </si>
  <si>
    <t>Sandrae</t>
  </si>
  <si>
    <t>Randy</t>
  </si>
  <si>
    <t>Ellen</t>
  </si>
  <si>
    <t>Vuanuo</t>
  </si>
  <si>
    <t>Tuome</t>
  </si>
  <si>
    <t>Szcznyck</t>
  </si>
  <si>
    <t>Tadeuz</t>
  </si>
  <si>
    <t>Wu</t>
  </si>
  <si>
    <t>Tammy</t>
  </si>
  <si>
    <t>Miller</t>
  </si>
  <si>
    <t>Pam</t>
  </si>
  <si>
    <t>Tom</t>
  </si>
  <si>
    <t>Kellerman</t>
  </si>
  <si>
    <t>Tommie</t>
  </si>
  <si>
    <t>Kourios</t>
  </si>
  <si>
    <t>Theo</t>
  </si>
  <si>
    <t>Dixon-Waite</t>
  </si>
  <si>
    <t>Sherrie</t>
  </si>
  <si>
    <t>Boughton</t>
  </si>
  <si>
    <t>Janet</t>
  </si>
  <si>
    <t>Alstain</t>
  </si>
  <si>
    <t>Isolde</t>
  </si>
  <si>
    <t>Sammler</t>
  </si>
  <si>
    <t>Brwyne</t>
  </si>
  <si>
    <t>Melia</t>
  </si>
  <si>
    <t>Barton</t>
  </si>
  <si>
    <t>Eileen</t>
  </si>
  <si>
    <t>Al-Sabah</t>
  </si>
  <si>
    <t>Daoud</t>
  </si>
  <si>
    <t>Zostoc</t>
  </si>
  <si>
    <t>Melissa</t>
  </si>
  <si>
    <t>Ursula</t>
  </si>
  <si>
    <t>Fontaine</t>
  </si>
  <si>
    <t>Jean</t>
  </si>
  <si>
    <t>Corwick</t>
  </si>
  <si>
    <t>Rob</t>
  </si>
  <si>
    <t>Larry</t>
  </si>
  <si>
    <t>Judy</t>
  </si>
  <si>
    <t>Chang</t>
  </si>
  <si>
    <t>Jessica</t>
  </si>
  <si>
    <t>Maria</t>
  </si>
  <si>
    <t>Atherly</t>
  </si>
  <si>
    <t>Katherine</t>
  </si>
  <si>
    <t>Bates</t>
  </si>
  <si>
    <t xml:space="preserve"> Verna</t>
  </si>
  <si>
    <t>Bauer</t>
  </si>
  <si>
    <t xml:space="preserve"> Chris</t>
  </si>
  <si>
    <t>Baxter</t>
  </si>
  <si>
    <t xml:space="preserve"> Teresa</t>
  </si>
  <si>
    <t>Bean</t>
  </si>
  <si>
    <t xml:space="preserve"> Deborah</t>
  </si>
  <si>
    <t>Beard</t>
  </si>
  <si>
    <t xml:space="preserve"> Sandi</t>
  </si>
  <si>
    <t>Beasley</t>
  </si>
  <si>
    <t xml:space="preserve"> Timothy</t>
  </si>
  <si>
    <t>Beck</t>
  </si>
  <si>
    <t xml:space="preserve"> Craig</t>
  </si>
  <si>
    <t>Becker</t>
  </si>
  <si>
    <t xml:space="preserve"> Gretchen</t>
  </si>
  <si>
    <t>Bell</t>
  </si>
  <si>
    <t xml:space="preserve"> David</t>
  </si>
  <si>
    <t>Bennett</t>
  </si>
  <si>
    <t>Benson</t>
  </si>
  <si>
    <t xml:space="preserve"> Troy</t>
  </si>
  <si>
    <t>Berry</t>
  </si>
  <si>
    <t xml:space="preserve"> Jacklyn</t>
  </si>
  <si>
    <t>Best</t>
  </si>
  <si>
    <t xml:space="preserve"> Lara</t>
  </si>
  <si>
    <t>Bishop</t>
  </si>
  <si>
    <t xml:space="preserve"> Juan</t>
  </si>
  <si>
    <t>Black</t>
  </si>
  <si>
    <t xml:space="preserve"> Cliff</t>
  </si>
  <si>
    <t>Blackburn</t>
  </si>
  <si>
    <t xml:space="preserve"> Kathryn</t>
  </si>
  <si>
    <t>Blackwell</t>
  </si>
  <si>
    <t xml:space="preserve"> Brandon</t>
  </si>
  <si>
    <t>Blair</t>
  </si>
  <si>
    <t xml:space="preserve"> Sperry</t>
  </si>
  <si>
    <t>Blake</t>
  </si>
  <si>
    <t xml:space="preserve"> Thomas</t>
  </si>
  <si>
    <t>Blankenship</t>
  </si>
  <si>
    <t xml:space="preserve"> Roger</t>
  </si>
  <si>
    <t>Blevins</t>
  </si>
  <si>
    <t xml:space="preserve"> Carey</t>
  </si>
  <si>
    <t>Bond</t>
  </si>
  <si>
    <t xml:space="preserve"> John</t>
  </si>
  <si>
    <t>Booker</t>
  </si>
  <si>
    <t xml:space="preserve"> Judith</t>
  </si>
  <si>
    <t>Boone</t>
  </si>
  <si>
    <t xml:space="preserve"> Eric</t>
  </si>
  <si>
    <t>Booth</t>
  </si>
  <si>
    <t xml:space="preserve"> Raquel</t>
  </si>
  <si>
    <t>Bowen</t>
  </si>
  <si>
    <t xml:space="preserve"> Kes</t>
  </si>
  <si>
    <t>Bowers</t>
  </si>
  <si>
    <t xml:space="preserve"> Tammy</t>
  </si>
  <si>
    <t>Bowman</t>
  </si>
  <si>
    <t xml:space="preserve"> Michael</t>
  </si>
  <si>
    <t>Boyer</t>
  </si>
  <si>
    <t>Bradford</t>
  </si>
  <si>
    <t xml:space="preserve"> Raymond</t>
  </si>
  <si>
    <t>Bradley</t>
  </si>
  <si>
    <t>Bradshaw</t>
  </si>
  <si>
    <t xml:space="preserve"> Sheryl</t>
  </si>
  <si>
    <t>Brady</t>
  </si>
  <si>
    <t xml:space="preserve"> Traci</t>
  </si>
  <si>
    <t>Branch</t>
  </si>
  <si>
    <t xml:space="preserve"> Brady</t>
  </si>
  <si>
    <t>Brewer</t>
  </si>
  <si>
    <t xml:space="preserve"> Khurrum</t>
  </si>
  <si>
    <t>Bridges</t>
  </si>
  <si>
    <t xml:space="preserve"> Jeff</t>
  </si>
  <si>
    <t>Briggs</t>
  </si>
  <si>
    <t xml:space="preserve"> Bryan</t>
  </si>
  <si>
    <t>Brock</t>
  </si>
  <si>
    <t xml:space="preserve"> Ensley</t>
  </si>
  <si>
    <t>Brooks</t>
  </si>
  <si>
    <t xml:space="preserve"> Richard</t>
  </si>
  <si>
    <t>Brown</t>
  </si>
  <si>
    <t xml:space="preserve"> Donald</t>
  </si>
  <si>
    <t>Browning</t>
  </si>
  <si>
    <t xml:space="preserve"> Kathleen</t>
  </si>
  <si>
    <t>Bruce</t>
  </si>
  <si>
    <t xml:space="preserve"> Kevin</t>
  </si>
  <si>
    <t>Bryan</t>
  </si>
  <si>
    <t>Bryant</t>
  </si>
  <si>
    <t xml:space="preserve"> Douglas</t>
  </si>
  <si>
    <t>Buchanan</t>
  </si>
  <si>
    <t xml:space="preserve"> Dennis</t>
  </si>
  <si>
    <t>Buckel</t>
  </si>
  <si>
    <t xml:space="preserve"> Patricia</t>
  </si>
  <si>
    <t>Bullock</t>
  </si>
  <si>
    <t xml:space="preserve"> Greg</t>
  </si>
  <si>
    <t>Burgess</t>
  </si>
  <si>
    <t xml:space="preserve"> Cherie</t>
  </si>
  <si>
    <t>Burke</t>
  </si>
  <si>
    <t>Burnett</t>
  </si>
  <si>
    <t>Burns</t>
  </si>
  <si>
    <t xml:space="preserve"> Fiona</t>
  </si>
  <si>
    <t>Burton</t>
  </si>
  <si>
    <t xml:space="preserve"> Cam</t>
  </si>
  <si>
    <t>Bush</t>
  </si>
  <si>
    <t xml:space="preserve"> Rena</t>
  </si>
  <si>
    <t xml:space="preserve"> Roy</t>
  </si>
  <si>
    <t>Byrd</t>
  </si>
  <si>
    <t xml:space="preserve"> Asa</t>
  </si>
  <si>
    <t>Cain</t>
  </si>
  <si>
    <t xml:space="preserve"> Lon</t>
  </si>
  <si>
    <t>Caldwell</t>
  </si>
  <si>
    <t xml:space="preserve"> Pete</t>
  </si>
  <si>
    <t>Calhoun</t>
  </si>
  <si>
    <t xml:space="preserve"> Dac Vinh</t>
  </si>
  <si>
    <t>Callahan</t>
  </si>
  <si>
    <t xml:space="preserve"> Marilyn</t>
  </si>
  <si>
    <t>Camacho</t>
  </si>
  <si>
    <t xml:space="preserve"> Stephanie</t>
  </si>
  <si>
    <t>Cameron</t>
  </si>
  <si>
    <t>Campbell</t>
  </si>
  <si>
    <t>Campos</t>
  </si>
  <si>
    <t>Cannon</t>
  </si>
  <si>
    <t xml:space="preserve"> Jenny</t>
  </si>
  <si>
    <t>Carey</t>
  </si>
  <si>
    <t xml:space="preserve"> Andrea</t>
  </si>
  <si>
    <t>Carlson</t>
  </si>
  <si>
    <t xml:space="preserve"> Jeremy</t>
  </si>
  <si>
    <t>Carpenter</t>
  </si>
  <si>
    <t xml:space="preserve"> Ronald</t>
  </si>
  <si>
    <t>Carr</t>
  </si>
  <si>
    <t xml:space="preserve"> Susan</t>
  </si>
  <si>
    <t>Carrillo</t>
  </si>
  <si>
    <t xml:space="preserve"> Robert</t>
  </si>
  <si>
    <t>Carroll</t>
  </si>
  <si>
    <t xml:space="preserve"> Lesa</t>
  </si>
  <si>
    <t>Carson</t>
  </si>
  <si>
    <t xml:space="preserve"> Anthony</t>
  </si>
  <si>
    <t>Carter</t>
  </si>
  <si>
    <t xml:space="preserve"> Allan</t>
  </si>
  <si>
    <t>Castillo</t>
  </si>
  <si>
    <t xml:space="preserve"> Sheri</t>
  </si>
  <si>
    <t>Castro</t>
  </si>
  <si>
    <t xml:space="preserve"> Christopher</t>
  </si>
  <si>
    <t>Chambers</t>
  </si>
  <si>
    <t>Chandler</t>
  </si>
  <si>
    <t xml:space="preserve"> Diane</t>
  </si>
  <si>
    <t xml:space="preserve"> Gabriel</t>
  </si>
  <si>
    <t>Chapman</t>
  </si>
  <si>
    <t xml:space="preserve"> Jessica</t>
  </si>
  <si>
    <t>Charles</t>
  </si>
  <si>
    <t xml:space="preserve"> Jeffrey</t>
  </si>
  <si>
    <t>Chase</t>
  </si>
  <si>
    <t>Chavez</t>
  </si>
  <si>
    <t>Chen</t>
  </si>
  <si>
    <t xml:space="preserve"> Jaime</t>
  </si>
  <si>
    <t>Christensen</t>
  </si>
  <si>
    <t xml:space="preserve"> Jill</t>
  </si>
  <si>
    <t>Christian</t>
  </si>
  <si>
    <t xml:space="preserve"> Melissa</t>
  </si>
  <si>
    <t>Clark</t>
  </si>
  <si>
    <t xml:space="preserve"> William</t>
  </si>
  <si>
    <t>Clarke</t>
  </si>
  <si>
    <t>Clay</t>
  </si>
  <si>
    <t>Clayton</t>
  </si>
  <si>
    <t xml:space="preserve"> Gregory</t>
  </si>
  <si>
    <t>Cline</t>
  </si>
  <si>
    <t xml:space="preserve"> Rebecca</t>
  </si>
  <si>
    <t>Cobb</t>
  </si>
  <si>
    <t xml:space="preserve"> Nicole</t>
  </si>
  <si>
    <t>Cochran</t>
  </si>
  <si>
    <t>Cohen</t>
  </si>
  <si>
    <t xml:space="preserve"> Bruce</t>
  </si>
  <si>
    <t>Cole</t>
  </si>
  <si>
    <t xml:space="preserve"> Elbert</t>
  </si>
  <si>
    <t>Coleman</t>
  </si>
  <si>
    <t xml:space="preserve"> Roque</t>
  </si>
  <si>
    <t>Collier</t>
  </si>
  <si>
    <t xml:space="preserve"> Dean</t>
  </si>
  <si>
    <t>Collins</t>
  </si>
  <si>
    <t>Colon</t>
  </si>
  <si>
    <t xml:space="preserve"> Donnie</t>
  </si>
  <si>
    <t>Combs</t>
  </si>
  <si>
    <t xml:space="preserve"> Rick</t>
  </si>
  <si>
    <t>Conley</t>
  </si>
  <si>
    <t xml:space="preserve"> Mark</t>
  </si>
  <si>
    <t>Conner</t>
  </si>
  <si>
    <t>Contreras</t>
  </si>
  <si>
    <t>Conway</t>
  </si>
  <si>
    <t xml:space="preserve"> Brett</t>
  </si>
  <si>
    <t>Cook</t>
  </si>
  <si>
    <t xml:space="preserve"> Lisa</t>
  </si>
  <si>
    <t>Copeland</t>
  </si>
  <si>
    <t>Cortez</t>
  </si>
  <si>
    <t xml:space="preserve"> Jack</t>
  </si>
  <si>
    <t>Cox</t>
  </si>
  <si>
    <t>Craig</t>
  </si>
  <si>
    <t xml:space="preserve"> Alan</t>
  </si>
  <si>
    <t>Crawford</t>
  </si>
  <si>
    <t>Cross</t>
  </si>
  <si>
    <t xml:space="preserve"> Marc</t>
  </si>
  <si>
    <t>Cruz</t>
  </si>
  <si>
    <t xml:space="preserve"> Janene</t>
  </si>
  <si>
    <t>Cummings</t>
  </si>
  <si>
    <t xml:space="preserve"> Jose</t>
  </si>
  <si>
    <t>Cunningham</t>
  </si>
  <si>
    <t xml:space="preserve"> Denise</t>
  </si>
  <si>
    <t>Curtis</t>
  </si>
  <si>
    <t xml:space="preserve"> Patrick</t>
  </si>
  <si>
    <t>Dalton</t>
  </si>
  <si>
    <t xml:space="preserve"> Carol</t>
  </si>
  <si>
    <t>Daniel</t>
  </si>
  <si>
    <t>Daniels</t>
  </si>
  <si>
    <t xml:space="preserve"> Janet</t>
  </si>
  <si>
    <t>Davenport</t>
  </si>
  <si>
    <t>Davidson</t>
  </si>
  <si>
    <t>Davis</t>
  </si>
  <si>
    <t xml:space="preserve"> Tonya</t>
  </si>
  <si>
    <t>Dawson</t>
  </si>
  <si>
    <t xml:space="preserve"> Jonathan</t>
  </si>
  <si>
    <t>Day</t>
  </si>
  <si>
    <t>Dean</t>
  </si>
  <si>
    <t xml:space="preserve"> Gayla</t>
  </si>
  <si>
    <t>Decker</t>
  </si>
  <si>
    <t xml:space="preserve"> Amy</t>
  </si>
  <si>
    <t>Delgado</t>
  </si>
  <si>
    <t xml:space="preserve"> Dale</t>
  </si>
  <si>
    <t>Dennis</t>
  </si>
  <si>
    <t xml:space="preserve"> Paul</t>
  </si>
  <si>
    <t>Diaz</t>
  </si>
  <si>
    <t>Dickerson</t>
  </si>
  <si>
    <t xml:space="preserve"> Lincoln</t>
  </si>
  <si>
    <t>Dixon</t>
  </si>
  <si>
    <t>Dodson</t>
  </si>
  <si>
    <t>Dominguez</t>
  </si>
  <si>
    <t xml:space="preserve"> Duane</t>
  </si>
  <si>
    <t>Dorsey</t>
  </si>
  <si>
    <t xml:space="preserve"> Matthew</t>
  </si>
  <si>
    <t xml:space="preserve"> Kenneth</t>
  </si>
  <si>
    <t>Doyle</t>
  </si>
  <si>
    <t xml:space="preserve"> Leslie</t>
  </si>
  <si>
    <t>Dudley</t>
  </si>
  <si>
    <t xml:space="preserve"> James</t>
  </si>
  <si>
    <t>Duncan</t>
  </si>
  <si>
    <t xml:space="preserve"> George</t>
  </si>
  <si>
    <t>Dunn</t>
  </si>
  <si>
    <t>Duran</t>
  </si>
  <si>
    <t xml:space="preserve"> Brian</t>
  </si>
  <si>
    <t>Durham</t>
  </si>
  <si>
    <t>Dyer</t>
  </si>
  <si>
    <t xml:space="preserve"> Carrie</t>
  </si>
  <si>
    <t>Eaton</t>
  </si>
  <si>
    <t xml:space="preserve"> Cris</t>
  </si>
  <si>
    <t>Edwards</t>
  </si>
  <si>
    <t xml:space="preserve"> Phillip</t>
  </si>
  <si>
    <t>Elliott</t>
  </si>
  <si>
    <t>Ellis</t>
  </si>
  <si>
    <t xml:space="preserve"> Brenda</t>
  </si>
  <si>
    <t>Ellison</t>
  </si>
  <si>
    <t xml:space="preserve"> Melyssa</t>
  </si>
  <si>
    <t>English</t>
  </si>
  <si>
    <t>Erickson</t>
  </si>
  <si>
    <t xml:space="preserve"> Ricky</t>
  </si>
  <si>
    <t>Espinoza</t>
  </si>
  <si>
    <t xml:space="preserve"> Derrell</t>
  </si>
  <si>
    <t>Estes</t>
  </si>
  <si>
    <t xml:space="preserve"> Mary</t>
  </si>
  <si>
    <t>Estrada</t>
  </si>
  <si>
    <t xml:space="preserve"> Joan</t>
  </si>
  <si>
    <t xml:space="preserve"> Rolin</t>
  </si>
  <si>
    <t>Everett</t>
  </si>
  <si>
    <t xml:space="preserve"> Dan</t>
  </si>
  <si>
    <t>Farmer</t>
  </si>
  <si>
    <t xml:space="preserve"> Suzanne</t>
  </si>
  <si>
    <t>Fernandez</t>
  </si>
  <si>
    <t xml:space="preserve"> Marie</t>
  </si>
  <si>
    <t>Fields</t>
  </si>
  <si>
    <t xml:space="preserve"> Cathy</t>
  </si>
  <si>
    <t>Figueroa</t>
  </si>
  <si>
    <t xml:space="preserve"> Leonard</t>
  </si>
  <si>
    <t>Fischer</t>
  </si>
  <si>
    <t>Fisher</t>
  </si>
  <si>
    <t xml:space="preserve"> Maria</t>
  </si>
  <si>
    <t>Fitzgerald</t>
  </si>
  <si>
    <t>Fleming</t>
  </si>
  <si>
    <t xml:space="preserve"> Irv</t>
  </si>
  <si>
    <t>Fletcher</t>
  </si>
  <si>
    <t>Flores</t>
  </si>
  <si>
    <t xml:space="preserve"> Angela</t>
  </si>
  <si>
    <t>Flowers</t>
  </si>
  <si>
    <t>Floyd</t>
  </si>
  <si>
    <t>Flynn</t>
  </si>
  <si>
    <t>Foley</t>
  </si>
  <si>
    <t xml:space="preserve"> Peter</t>
  </si>
  <si>
    <t>Ford</t>
  </si>
  <si>
    <t xml:space="preserve"> Matt</t>
  </si>
  <si>
    <t>Foster</t>
  </si>
  <si>
    <t xml:space="preserve"> Blane</t>
  </si>
  <si>
    <t>Fowler</t>
  </si>
  <si>
    <t>Fox</t>
  </si>
  <si>
    <t xml:space="preserve"> Ellen</t>
  </si>
  <si>
    <t>Francis</t>
  </si>
  <si>
    <t xml:space="preserve"> Todd</t>
  </si>
  <si>
    <t>Franklin</t>
  </si>
  <si>
    <t xml:space="preserve"> Alicia</t>
  </si>
  <si>
    <t>Frazier</t>
  </si>
  <si>
    <t>French</t>
  </si>
  <si>
    <t>Frost</t>
  </si>
  <si>
    <t xml:space="preserve"> Adam</t>
  </si>
  <si>
    <t>Gaines</t>
  </si>
  <si>
    <t xml:space="preserve"> Sheela</t>
  </si>
  <si>
    <t>Gallagher</t>
  </si>
  <si>
    <t xml:space="preserve"> Johnson</t>
  </si>
  <si>
    <t>Gallegos</t>
  </si>
  <si>
    <t>Garcia</t>
  </si>
  <si>
    <t xml:space="preserve"> Karen</t>
  </si>
  <si>
    <t>Gardner</t>
  </si>
  <si>
    <t>Garner</t>
  </si>
  <si>
    <t xml:space="preserve"> Terry</t>
  </si>
  <si>
    <t>Garrett</t>
  </si>
  <si>
    <t>Garrison</t>
  </si>
  <si>
    <t>Garza</t>
  </si>
  <si>
    <t>Gates</t>
  </si>
  <si>
    <t xml:space="preserve"> Anne</t>
  </si>
  <si>
    <t>Gentry</t>
  </si>
  <si>
    <t>George</t>
  </si>
  <si>
    <t>Gibbs</t>
  </si>
  <si>
    <t xml:space="preserve"> Debra</t>
  </si>
  <si>
    <t>Gibson</t>
  </si>
  <si>
    <t>Gilbert</t>
  </si>
  <si>
    <t xml:space="preserve"> Shannon</t>
  </si>
  <si>
    <t>Giles</t>
  </si>
  <si>
    <t>Gilmore</t>
  </si>
  <si>
    <t>Glass</t>
  </si>
  <si>
    <t>Glenn</t>
  </si>
  <si>
    <t>Glover</t>
  </si>
  <si>
    <t xml:space="preserve"> Eugene</t>
  </si>
  <si>
    <t>Golden</t>
  </si>
  <si>
    <t xml:space="preserve"> Christine</t>
  </si>
  <si>
    <t>Gomez</t>
  </si>
  <si>
    <t xml:space="preserve"> Ed</t>
  </si>
  <si>
    <t>Gonzalez</t>
  </si>
  <si>
    <t>Goodman</t>
  </si>
  <si>
    <t xml:space="preserve"> Kuyler</t>
  </si>
  <si>
    <t>Goodwin</t>
  </si>
  <si>
    <t xml:space="preserve"> April</t>
  </si>
  <si>
    <t>Gordon</t>
  </si>
  <si>
    <t>Graham</t>
  </si>
  <si>
    <t>Grant</t>
  </si>
  <si>
    <t>Graves</t>
  </si>
  <si>
    <t>Green</t>
  </si>
  <si>
    <t xml:space="preserve"> Kim</t>
  </si>
  <si>
    <t>Greene</t>
  </si>
  <si>
    <t xml:space="preserve"> Alexander</t>
  </si>
  <si>
    <t>Greer</t>
  </si>
  <si>
    <t>Griffin</t>
  </si>
  <si>
    <t xml:space="preserve"> Debbi</t>
  </si>
  <si>
    <t>Grimes</t>
  </si>
  <si>
    <t xml:space="preserve"> Davin</t>
  </si>
  <si>
    <t>Guerra</t>
  </si>
  <si>
    <t>Guerrero</t>
  </si>
  <si>
    <t xml:space="preserve"> Laura</t>
  </si>
  <si>
    <t>Gutierrez</t>
  </si>
  <si>
    <t xml:space="preserve"> Regina</t>
  </si>
  <si>
    <t>Guzman</t>
  </si>
  <si>
    <t xml:space="preserve"> Don</t>
  </si>
  <si>
    <t>Hale</t>
  </si>
  <si>
    <t xml:space="preserve"> Deon</t>
  </si>
  <si>
    <t>Hall</t>
  </si>
  <si>
    <t>Hamilton</t>
  </si>
  <si>
    <t xml:space="preserve"> Theo</t>
  </si>
  <si>
    <t>Hammond</t>
  </si>
  <si>
    <t>Hancock</t>
  </si>
  <si>
    <t xml:space="preserve"> Allen</t>
  </si>
  <si>
    <t>Hansen</t>
  </si>
  <si>
    <t xml:space="preserve"> Andrew</t>
  </si>
  <si>
    <t>Hanson</t>
  </si>
  <si>
    <t>Hardin</t>
  </si>
  <si>
    <t>Harding</t>
  </si>
  <si>
    <t xml:space="preserve"> Erin</t>
  </si>
  <si>
    <t>Hardy</t>
  </si>
  <si>
    <t xml:space="preserve"> Svetlana</t>
  </si>
  <si>
    <t>Harmon</t>
  </si>
  <si>
    <t>Harper</t>
  </si>
  <si>
    <t xml:space="preserve"> Cynthia</t>
  </si>
  <si>
    <t>Harrell</t>
  </si>
  <si>
    <t xml:space="preserve"> Cristin</t>
  </si>
  <si>
    <t>Harrington</t>
  </si>
  <si>
    <t xml:space="preserve"> Aron</t>
  </si>
  <si>
    <t>Harris</t>
  </si>
  <si>
    <t>Harrison</t>
  </si>
  <si>
    <t>Hart</t>
  </si>
  <si>
    <t>Hartman</t>
  </si>
  <si>
    <t>Harvey</t>
  </si>
  <si>
    <t>Hatfield</t>
  </si>
  <si>
    <t xml:space="preserve"> Carl</t>
  </si>
  <si>
    <t>Hayes</t>
  </si>
  <si>
    <t xml:space="preserve"> Edward</t>
  </si>
  <si>
    <t>Haynes</t>
  </si>
  <si>
    <t xml:space="preserve"> Ernest</t>
  </si>
  <si>
    <t>Heath</t>
  </si>
  <si>
    <t>Henry</t>
  </si>
  <si>
    <t>Hensley</t>
  </si>
  <si>
    <t>Henson</t>
  </si>
  <si>
    <t>Herman</t>
  </si>
  <si>
    <t xml:space="preserve"> Henrietta</t>
  </si>
  <si>
    <t>Hernandez</t>
  </si>
  <si>
    <t xml:space="preserve"> Glenn</t>
  </si>
  <si>
    <t>Herrera</t>
  </si>
  <si>
    <t xml:space="preserve"> Shawn</t>
  </si>
  <si>
    <t>Herring</t>
  </si>
  <si>
    <t xml:space="preserve"> Joanna</t>
  </si>
  <si>
    <t>Hess</t>
  </si>
  <si>
    <t>Hickman</t>
  </si>
  <si>
    <t>Hicks</t>
  </si>
  <si>
    <t xml:space="preserve"> Monica</t>
  </si>
  <si>
    <t>Higgins</t>
  </si>
  <si>
    <t>Hill</t>
  </si>
  <si>
    <t xml:space="preserve"> Robin</t>
  </si>
  <si>
    <t>Hines</t>
  </si>
  <si>
    <t xml:space="preserve"> Herb</t>
  </si>
  <si>
    <t>Hobbs</t>
  </si>
  <si>
    <t xml:space="preserve"> Scott</t>
  </si>
  <si>
    <t>Hodge</t>
  </si>
  <si>
    <t>Hodges</t>
  </si>
  <si>
    <t>Hoffman</t>
  </si>
  <si>
    <t xml:space="preserve"> Brian D</t>
  </si>
  <si>
    <t>Hogan</t>
  </si>
  <si>
    <t xml:space="preserve"> Daniel</t>
  </si>
  <si>
    <t>Holland</t>
  </si>
  <si>
    <t>Holloway</t>
  </si>
  <si>
    <t>Holmes</t>
  </si>
  <si>
    <t xml:space="preserve"> Tito</t>
  </si>
  <si>
    <t>Holt</t>
  </si>
  <si>
    <t>Hood</t>
  </si>
  <si>
    <t xml:space="preserve"> Renee</t>
  </si>
  <si>
    <t>Hoover</t>
  </si>
  <si>
    <t xml:space="preserve"> Evangeline</t>
  </si>
  <si>
    <t>Hopkins</t>
  </si>
  <si>
    <t>Horn</t>
  </si>
  <si>
    <t>Horton</t>
  </si>
  <si>
    <t xml:space="preserve"> Cleatis</t>
  </si>
  <si>
    <t>House</t>
  </si>
  <si>
    <t>Houston</t>
  </si>
  <si>
    <t>Howell</t>
  </si>
  <si>
    <t>Hubbard</t>
  </si>
  <si>
    <t xml:space="preserve"> Sandra</t>
  </si>
  <si>
    <t>Hudson</t>
  </si>
  <si>
    <t xml:space="preserve"> Lorna</t>
  </si>
  <si>
    <t>Huff</t>
  </si>
  <si>
    <t xml:space="preserve"> Erik</t>
  </si>
  <si>
    <t>Huffman</t>
  </si>
  <si>
    <t xml:space="preserve"> Ignacio</t>
  </si>
  <si>
    <t>Hughes</t>
  </si>
  <si>
    <t>Hull</t>
  </si>
  <si>
    <t xml:space="preserve"> Jeanne</t>
  </si>
  <si>
    <t>Hunt</t>
  </si>
  <si>
    <t xml:space="preserve"> Norman</t>
  </si>
  <si>
    <t>Hunter</t>
  </si>
  <si>
    <t>Hurst</t>
  </si>
  <si>
    <t>Hutchinson</t>
  </si>
  <si>
    <t>Ingram</t>
  </si>
  <si>
    <t>Jacobs</t>
  </si>
  <si>
    <t xml:space="preserve"> Florianne</t>
  </si>
  <si>
    <t>James</t>
  </si>
  <si>
    <t xml:space="preserve"> Lynn</t>
  </si>
  <si>
    <t>Jefferson</t>
  </si>
  <si>
    <t xml:space="preserve"> Elaine</t>
  </si>
  <si>
    <t>Jenkins</t>
  </si>
  <si>
    <t>Jennings</t>
  </si>
  <si>
    <t xml:space="preserve"> Gary</t>
  </si>
  <si>
    <t>Jensen</t>
  </si>
  <si>
    <t xml:space="preserve"> Kristina</t>
  </si>
  <si>
    <t>Jimenez</t>
  </si>
  <si>
    <t xml:space="preserve"> Dominic</t>
  </si>
  <si>
    <t>Johns</t>
  </si>
  <si>
    <t xml:space="preserve"> Chad</t>
  </si>
  <si>
    <t xml:space="preserve"> Mary Jo</t>
  </si>
  <si>
    <t>Johnston</t>
  </si>
  <si>
    <t>Jordan</t>
  </si>
  <si>
    <t>Joseph</t>
  </si>
  <si>
    <t>Juarez</t>
  </si>
  <si>
    <t xml:space="preserve"> Neill</t>
  </si>
  <si>
    <t>Keith</t>
  </si>
  <si>
    <t>Keller</t>
  </si>
  <si>
    <t xml:space="preserve"> Jason</t>
  </si>
  <si>
    <t>Kelley</t>
  </si>
  <si>
    <t xml:space="preserve"> Nancy</t>
  </si>
  <si>
    <t>Kelly</t>
  </si>
  <si>
    <t xml:space="preserve"> Icelita</t>
  </si>
  <si>
    <t>Kemp</t>
  </si>
  <si>
    <t xml:space="preserve"> Holly</t>
  </si>
  <si>
    <t>Kennedy</t>
  </si>
  <si>
    <t xml:space="preserve"> Kimberly</t>
  </si>
  <si>
    <t>Kent</t>
  </si>
  <si>
    <t xml:space="preserve"> Angus</t>
  </si>
  <si>
    <t>Kim</t>
  </si>
  <si>
    <t>King</t>
  </si>
  <si>
    <t xml:space="preserve"> Taslim</t>
  </si>
  <si>
    <t>Kirk</t>
  </si>
  <si>
    <t>Knight</t>
  </si>
  <si>
    <t>Knox</t>
  </si>
  <si>
    <t xml:space="preserve"> Lori</t>
  </si>
  <si>
    <t>Koch</t>
  </si>
  <si>
    <t xml:space="preserve"> Danielle</t>
  </si>
  <si>
    <t>Kramer</t>
  </si>
  <si>
    <t xml:space="preserve"> Faye</t>
  </si>
  <si>
    <t>Lamb</t>
  </si>
  <si>
    <t>Lambert</t>
  </si>
  <si>
    <t xml:space="preserve"> Jody</t>
  </si>
  <si>
    <t>Lane</t>
  </si>
  <si>
    <t xml:space="preserve"> Brandyn</t>
  </si>
  <si>
    <t>Lang</t>
  </si>
  <si>
    <t xml:space="preserve"> Dana</t>
  </si>
  <si>
    <t>Larsen</t>
  </si>
  <si>
    <t>Larson</t>
  </si>
  <si>
    <t>Lawrence</t>
  </si>
  <si>
    <t>Lawson</t>
  </si>
  <si>
    <t>Leach</t>
  </si>
  <si>
    <t xml:space="preserve"> Jingwen</t>
  </si>
  <si>
    <t>Lee</t>
  </si>
  <si>
    <t xml:space="preserve"> Charles</t>
  </si>
  <si>
    <t>Leon</t>
  </si>
  <si>
    <t xml:space="preserve"> Emily</t>
  </si>
  <si>
    <t>Leonard</t>
  </si>
  <si>
    <t>Lester</t>
  </si>
  <si>
    <t xml:space="preserve"> Sherri</t>
  </si>
  <si>
    <t>Lewis</t>
  </si>
  <si>
    <t xml:space="preserve"> Frederick</t>
  </si>
  <si>
    <t>Lindsey</t>
  </si>
  <si>
    <t>Little</t>
  </si>
  <si>
    <t xml:space="preserve"> Steve</t>
  </si>
  <si>
    <t>Livingston</t>
  </si>
  <si>
    <t xml:space="preserve"> Lynette</t>
  </si>
  <si>
    <t>Lloyd</t>
  </si>
  <si>
    <t>Logan</t>
  </si>
  <si>
    <t>Long</t>
  </si>
  <si>
    <t>Lopez</t>
  </si>
  <si>
    <t xml:space="preserve"> Stephen</t>
  </si>
  <si>
    <t>Love</t>
  </si>
  <si>
    <t xml:space="preserve"> Danny</t>
  </si>
  <si>
    <t>Lowe</t>
  </si>
  <si>
    <t xml:space="preserve"> Michelle</t>
  </si>
  <si>
    <t>Lowery</t>
  </si>
  <si>
    <t>Lucas</t>
  </si>
  <si>
    <t>Luna</t>
  </si>
  <si>
    <t xml:space="preserve"> Rodney</t>
  </si>
  <si>
    <t>Lynch</t>
  </si>
  <si>
    <t>Lyons</t>
  </si>
  <si>
    <t>Mack</t>
  </si>
  <si>
    <t xml:space="preserve"> Barry</t>
  </si>
  <si>
    <t>Maldonado</t>
  </si>
  <si>
    <t>Malone</t>
  </si>
  <si>
    <t>Mann</t>
  </si>
  <si>
    <t xml:space="preserve"> Lowell</t>
  </si>
  <si>
    <t>Manning</t>
  </si>
  <si>
    <t>Marks</t>
  </si>
  <si>
    <t xml:space="preserve"> LaReina</t>
  </si>
  <si>
    <t>Marquez</t>
  </si>
  <si>
    <t>Marsh</t>
  </si>
  <si>
    <t>Marshall</t>
  </si>
  <si>
    <t xml:space="preserve"> Anita</t>
  </si>
  <si>
    <t>Martin</t>
  </si>
  <si>
    <t>Martinez</t>
  </si>
  <si>
    <t>Mason</t>
  </si>
  <si>
    <t>Massey</t>
  </si>
  <si>
    <t>Mathis</t>
  </si>
  <si>
    <t xml:space="preserve"> Shari</t>
  </si>
  <si>
    <t>Matthews</t>
  </si>
  <si>
    <t>Maxwell</t>
  </si>
  <si>
    <t>Maynard</t>
  </si>
  <si>
    <t>McBride</t>
  </si>
  <si>
    <t xml:space="preserve"> Grazyna</t>
  </si>
  <si>
    <t>McCall</t>
  </si>
  <si>
    <t xml:space="preserve"> Keith</t>
  </si>
  <si>
    <t>McClain</t>
  </si>
  <si>
    <t xml:space="preserve"> Steven</t>
  </si>
  <si>
    <t>McConnell</t>
  </si>
  <si>
    <t xml:space="preserve"> Justin</t>
  </si>
  <si>
    <t>McCoy</t>
  </si>
  <si>
    <t xml:space="preserve"> Preston</t>
  </si>
  <si>
    <t>McCullough</t>
  </si>
  <si>
    <t>McDaniel</t>
  </si>
  <si>
    <t xml:space="preserve"> Tamara</t>
  </si>
  <si>
    <t>McDonald</t>
  </si>
  <si>
    <t>McDowell</t>
  </si>
  <si>
    <t>McGee</t>
  </si>
  <si>
    <t>McGuire</t>
  </si>
  <si>
    <t>McIntosh</t>
  </si>
  <si>
    <t>McKee</t>
  </si>
  <si>
    <t>McKenzie</t>
  </si>
  <si>
    <t>McKinney</t>
  </si>
  <si>
    <t xml:space="preserve"> Christofer</t>
  </si>
  <si>
    <t>McLaughlin</t>
  </si>
  <si>
    <t>McLean</t>
  </si>
  <si>
    <t>Medina</t>
  </si>
  <si>
    <t xml:space="preserve"> Warren</t>
  </si>
  <si>
    <t>Melton</t>
  </si>
  <si>
    <t>Mendez</t>
  </si>
  <si>
    <t xml:space="preserve"> Max</t>
  </si>
  <si>
    <t>Mercado</t>
  </si>
  <si>
    <t>Merritt</t>
  </si>
  <si>
    <t>Meyer</t>
  </si>
  <si>
    <t>Meyers</t>
  </si>
  <si>
    <t>Middleton</t>
  </si>
  <si>
    <t xml:space="preserve"> Jen</t>
  </si>
  <si>
    <t>Miles</t>
  </si>
  <si>
    <t>Mills</t>
  </si>
  <si>
    <t>Miranda</t>
  </si>
  <si>
    <t xml:space="preserve"> Elena</t>
  </si>
  <si>
    <t>Mitchell</t>
  </si>
  <si>
    <t>Molina</t>
  </si>
  <si>
    <t>Montgomery</t>
  </si>
  <si>
    <t>Montoya</t>
  </si>
  <si>
    <t>Moody</t>
  </si>
  <si>
    <t>Moore</t>
  </si>
  <si>
    <t>Morales</t>
  </si>
  <si>
    <t xml:space="preserve"> Linda</t>
  </si>
  <si>
    <t>Moran</t>
  </si>
  <si>
    <t>Moreno</t>
  </si>
  <si>
    <t>Morgan</t>
  </si>
  <si>
    <t>Morris</t>
  </si>
  <si>
    <t xml:space="preserve"> Richelle</t>
  </si>
  <si>
    <t>Morrison</t>
  </si>
  <si>
    <t xml:space="preserve"> Julie</t>
  </si>
  <si>
    <t>Morrow</t>
  </si>
  <si>
    <t>Morse</t>
  </si>
  <si>
    <t>Morton</t>
  </si>
  <si>
    <t>Moses</t>
  </si>
  <si>
    <t>Mosley</t>
  </si>
  <si>
    <t>Moss</t>
  </si>
  <si>
    <t xml:space="preserve"> Chan</t>
  </si>
  <si>
    <t>Mueller</t>
  </si>
  <si>
    <t xml:space="preserve"> Philip</t>
  </si>
  <si>
    <t>Mullins</t>
  </si>
  <si>
    <t>Murphy</t>
  </si>
  <si>
    <t>Murray</t>
  </si>
  <si>
    <t>Myers</t>
  </si>
  <si>
    <t>Navarro</t>
  </si>
  <si>
    <t>Neal</t>
  </si>
  <si>
    <t xml:space="preserve"> Sally</t>
  </si>
  <si>
    <t>Nelson</t>
  </si>
  <si>
    <t xml:space="preserve"> Shira</t>
  </si>
  <si>
    <t>Newman</t>
  </si>
  <si>
    <t xml:space="preserve"> Aria</t>
  </si>
  <si>
    <t>Newton</t>
  </si>
  <si>
    <t xml:space="preserve"> Leigh</t>
  </si>
  <si>
    <t>Nguyen</t>
  </si>
  <si>
    <t>Nicholson</t>
  </si>
  <si>
    <t xml:space="preserve"> Lee</t>
  </si>
  <si>
    <t>Nixon</t>
  </si>
  <si>
    <t xml:space="preserve"> Randy</t>
  </si>
  <si>
    <t>Noble</t>
  </si>
  <si>
    <t>Norman</t>
  </si>
  <si>
    <t xml:space="preserve"> Rita</t>
  </si>
  <si>
    <t>Norris</t>
  </si>
  <si>
    <t>Norton</t>
  </si>
  <si>
    <t>Nunez</t>
  </si>
  <si>
    <t xml:space="preserve"> Benning</t>
  </si>
  <si>
    <t>Obrien</t>
  </si>
  <si>
    <t xml:space="preserve"> Madelyn</t>
  </si>
  <si>
    <t>Oconnor</t>
  </si>
  <si>
    <t xml:space="preserve"> Kent</t>
  </si>
  <si>
    <t>Oliver</t>
  </si>
  <si>
    <t xml:space="preserve"> Francisco</t>
  </si>
  <si>
    <t>Olsen</t>
  </si>
  <si>
    <t xml:space="preserve"> Ewan</t>
  </si>
  <si>
    <t>Olson</t>
  </si>
  <si>
    <t xml:space="preserve"> Melanie</t>
  </si>
  <si>
    <t>Oneal</t>
  </si>
  <si>
    <t>Orr</t>
  </si>
  <si>
    <t xml:space="preserve"> Jennifer</t>
  </si>
  <si>
    <t>Ortega</t>
  </si>
  <si>
    <t>Ortiz</t>
  </si>
  <si>
    <t>Osborne</t>
  </si>
  <si>
    <t xml:space="preserve"> Bill</t>
  </si>
  <si>
    <t>Owen</t>
  </si>
  <si>
    <t>Owens</t>
  </si>
  <si>
    <t xml:space="preserve"> Dwight</t>
  </si>
  <si>
    <t>Pace</t>
  </si>
  <si>
    <t xml:space="preserve"> Joseph</t>
  </si>
  <si>
    <t>Pacheco</t>
  </si>
  <si>
    <t xml:space="preserve"> Therese</t>
  </si>
  <si>
    <t>Padilla</t>
  </si>
  <si>
    <t>Page</t>
  </si>
  <si>
    <t>Palmer</t>
  </si>
  <si>
    <t>Park</t>
  </si>
  <si>
    <t>Parker</t>
  </si>
  <si>
    <t>Parks</t>
  </si>
  <si>
    <t>Parrish</t>
  </si>
  <si>
    <t>Parsons</t>
  </si>
  <si>
    <t>Patel</t>
  </si>
  <si>
    <t>Patterson</t>
  </si>
  <si>
    <t>Patton</t>
  </si>
  <si>
    <t xml:space="preserve"> Corey</t>
  </si>
  <si>
    <t>Paul</t>
  </si>
  <si>
    <t>Payne</t>
  </si>
  <si>
    <t xml:space="preserve"> Vicky</t>
  </si>
  <si>
    <t>Pearson</t>
  </si>
  <si>
    <t xml:space="preserve"> Cassy</t>
  </si>
  <si>
    <t>Pena</t>
  </si>
  <si>
    <t>Pennington</t>
  </si>
  <si>
    <t>Perez</t>
  </si>
  <si>
    <t>Perkins</t>
  </si>
  <si>
    <t>Perry</t>
  </si>
  <si>
    <t>Peters</t>
  </si>
  <si>
    <t>Peterson</t>
  </si>
  <si>
    <t xml:space="preserve"> Shaun</t>
  </si>
  <si>
    <t>Phelps</t>
  </si>
  <si>
    <t>Phillips</t>
  </si>
  <si>
    <t xml:space="preserve"> Liesl</t>
  </si>
  <si>
    <t>Pierce</t>
  </si>
  <si>
    <t>Pittman</t>
  </si>
  <si>
    <t xml:space="preserve"> Bacardi</t>
  </si>
  <si>
    <t>Pitts</t>
  </si>
  <si>
    <t>Poole</t>
  </si>
  <si>
    <t xml:space="preserve"> Tracy</t>
  </si>
  <si>
    <t>Pope</t>
  </si>
  <si>
    <t>Porter</t>
  </si>
  <si>
    <t xml:space="preserve"> Rachel</t>
  </si>
  <si>
    <t xml:space="preserve"> Dawn</t>
  </si>
  <si>
    <t>Powell</t>
  </si>
  <si>
    <t xml:space="preserve"> Juli</t>
  </si>
  <si>
    <t>Powers</t>
  </si>
  <si>
    <t xml:space="preserve"> Tia</t>
  </si>
  <si>
    <t>Pratt</t>
  </si>
  <si>
    <t>Preston</t>
  </si>
  <si>
    <t>Price</t>
  </si>
  <si>
    <t xml:space="preserve"> Diana</t>
  </si>
  <si>
    <t>Prince</t>
  </si>
  <si>
    <t>Pruitt</t>
  </si>
  <si>
    <t>Pugh</t>
  </si>
  <si>
    <t xml:space="preserve"> Lawrence</t>
  </si>
  <si>
    <t>Quinn</t>
  </si>
  <si>
    <t xml:space="preserve"> Cinnamon</t>
  </si>
  <si>
    <t>Ramirez</t>
  </si>
  <si>
    <t>Ramos</t>
  </si>
  <si>
    <t xml:space="preserve"> Jan</t>
  </si>
  <si>
    <t>Ramsey</t>
  </si>
  <si>
    <t xml:space="preserve"> Nathaniel</t>
  </si>
  <si>
    <t>Randall</t>
  </si>
  <si>
    <t xml:space="preserve"> Yvonne</t>
  </si>
  <si>
    <t>Randolph</t>
  </si>
  <si>
    <t xml:space="preserve"> Kristin</t>
  </si>
  <si>
    <t>Ray</t>
  </si>
  <si>
    <t xml:space="preserve"> ReAnnon</t>
  </si>
  <si>
    <t>Reed</t>
  </si>
  <si>
    <t xml:space="preserve"> Larry</t>
  </si>
  <si>
    <t>Reese</t>
  </si>
  <si>
    <t>Reeves</t>
  </si>
  <si>
    <t>Reid</t>
  </si>
  <si>
    <t xml:space="preserve"> Elizabeth</t>
  </si>
  <si>
    <t>Reyes</t>
  </si>
  <si>
    <t>Reynolds</t>
  </si>
  <si>
    <t xml:space="preserve"> Barbara</t>
  </si>
  <si>
    <t>Rhodes</t>
  </si>
  <si>
    <t>Rice</t>
  </si>
  <si>
    <t>Rich</t>
  </si>
  <si>
    <t xml:space="preserve"> Brent</t>
  </si>
  <si>
    <t>Richard</t>
  </si>
  <si>
    <t>Richards</t>
  </si>
  <si>
    <t>Richardson</t>
  </si>
  <si>
    <t>Riley</t>
  </si>
  <si>
    <t>Rios</t>
  </si>
  <si>
    <t xml:space="preserve"> Fredrick</t>
  </si>
  <si>
    <t>Rivera</t>
  </si>
  <si>
    <t>Rivers</t>
  </si>
  <si>
    <t>Robbins</t>
  </si>
  <si>
    <t>Roberson</t>
  </si>
  <si>
    <t xml:space="preserve"> Eileen</t>
  </si>
  <si>
    <t>Roberts</t>
  </si>
  <si>
    <t xml:space="preserve"> Jackie</t>
  </si>
  <si>
    <t>Robertson</t>
  </si>
  <si>
    <t xml:space="preserve"> Nathan</t>
  </si>
  <si>
    <t>Robinson</t>
  </si>
  <si>
    <t>Robles</t>
  </si>
  <si>
    <t>Rodgers</t>
  </si>
  <si>
    <t>Rodriguez</t>
  </si>
  <si>
    <t>Rodriquez</t>
  </si>
  <si>
    <t>Rogers</t>
  </si>
  <si>
    <t xml:space="preserve"> Colleen</t>
  </si>
  <si>
    <t>Rojas</t>
  </si>
  <si>
    <t>Roman</t>
  </si>
  <si>
    <t xml:space="preserve"> Teri</t>
  </si>
  <si>
    <t>Romero</t>
  </si>
  <si>
    <t>Rose</t>
  </si>
  <si>
    <t>Ross</t>
  </si>
  <si>
    <t xml:space="preserve"> Janice</t>
  </si>
  <si>
    <t>Roth</t>
  </si>
  <si>
    <t xml:space="preserve"> Tony</t>
  </si>
  <si>
    <t>Rowe</t>
  </si>
  <si>
    <t xml:space="preserve"> Ken</t>
  </si>
  <si>
    <t>Roy</t>
  </si>
  <si>
    <t xml:space="preserve"> Margarita</t>
  </si>
  <si>
    <t>Ruiz</t>
  </si>
  <si>
    <t xml:space="preserve"> Randall</t>
  </si>
  <si>
    <t>Rush</t>
  </si>
  <si>
    <t xml:space="preserve"> Lateef</t>
  </si>
  <si>
    <t>Russell</t>
  </si>
  <si>
    <t>Salazar</t>
  </si>
  <si>
    <t xml:space="preserve"> Ruben</t>
  </si>
  <si>
    <t>Salinas</t>
  </si>
  <si>
    <t xml:space="preserve"> Jon</t>
  </si>
  <si>
    <t>Sanchez</t>
  </si>
  <si>
    <t>Sanders</t>
  </si>
  <si>
    <t>Sandoval</t>
  </si>
  <si>
    <t>Santiago</t>
  </si>
  <si>
    <t>Santos</t>
  </si>
  <si>
    <t xml:space="preserve"> Garret</t>
  </si>
  <si>
    <t>Saunders</t>
  </si>
  <si>
    <t>Savage</t>
  </si>
  <si>
    <t>Sawyer</t>
  </si>
  <si>
    <t xml:space="preserve"> Catherine</t>
  </si>
  <si>
    <t>Schmidt</t>
  </si>
  <si>
    <t>Schneider</t>
  </si>
  <si>
    <t xml:space="preserve"> Gay</t>
  </si>
  <si>
    <t>Schroeder</t>
  </si>
  <si>
    <t xml:space="preserve"> Bennet</t>
  </si>
  <si>
    <t>Schultz</t>
  </si>
  <si>
    <t>Schwartz</t>
  </si>
  <si>
    <t>Sellers</t>
  </si>
  <si>
    <t>Serrano</t>
  </si>
  <si>
    <t xml:space="preserve"> Al</t>
  </si>
  <si>
    <t>Sexton</t>
  </si>
  <si>
    <t>Shaffer</t>
  </si>
  <si>
    <t xml:space="preserve"> Nobuko</t>
  </si>
  <si>
    <t>Shannon</t>
  </si>
  <si>
    <t>Sharp</t>
  </si>
  <si>
    <t xml:space="preserve"> Janine</t>
  </si>
  <si>
    <t>Shaw</t>
  </si>
  <si>
    <t xml:space="preserve"> Pat</t>
  </si>
  <si>
    <t>Shelton</t>
  </si>
  <si>
    <t xml:space="preserve"> Donna</t>
  </si>
  <si>
    <t>Shepherd</t>
  </si>
  <si>
    <t xml:space="preserve"> Annie</t>
  </si>
  <si>
    <t>Sheppard</t>
  </si>
  <si>
    <t xml:space="preserve"> Curtis</t>
  </si>
  <si>
    <t>Sherman</t>
  </si>
  <si>
    <t xml:space="preserve"> Karin</t>
  </si>
  <si>
    <t>Shields</t>
  </si>
  <si>
    <t>Short</t>
  </si>
  <si>
    <t>Silva</t>
  </si>
  <si>
    <t>Simmons</t>
  </si>
  <si>
    <t xml:space="preserve"> Jimmy</t>
  </si>
  <si>
    <t>Sims</t>
  </si>
  <si>
    <t>Singleton</t>
  </si>
  <si>
    <t>Skinner</t>
  </si>
  <si>
    <t>Sloan</t>
  </si>
  <si>
    <t xml:space="preserve"> Cindy</t>
  </si>
  <si>
    <t>Small</t>
  </si>
  <si>
    <t xml:space="preserve"> Athanasios</t>
  </si>
  <si>
    <t xml:space="preserve"> Koleen</t>
  </si>
  <si>
    <t>Snow</t>
  </si>
  <si>
    <t xml:space="preserve"> Desiree</t>
  </si>
  <si>
    <t>Snyder</t>
  </si>
  <si>
    <t>Solis</t>
  </si>
  <si>
    <t>Solomon</t>
  </si>
  <si>
    <t>Soto</t>
  </si>
  <si>
    <t>Sparks</t>
  </si>
  <si>
    <t xml:space="preserve"> Terri</t>
  </si>
  <si>
    <t>Spears</t>
  </si>
  <si>
    <t>Spencer</t>
  </si>
  <si>
    <t xml:space="preserve"> Boyd</t>
  </si>
  <si>
    <t>Stafford</t>
  </si>
  <si>
    <t xml:space="preserve"> Rhonda</t>
  </si>
  <si>
    <t>Stanley</t>
  </si>
  <si>
    <t>Stephens</t>
  </si>
  <si>
    <t xml:space="preserve"> Bonnie</t>
  </si>
  <si>
    <t>Stephenson</t>
  </si>
  <si>
    <t>Stevens</t>
  </si>
  <si>
    <t>Stevenson</t>
  </si>
  <si>
    <t>Stewart</t>
  </si>
  <si>
    <t>Stokes</t>
  </si>
  <si>
    <t>Strickland</t>
  </si>
  <si>
    <t xml:space="preserve"> Rajean</t>
  </si>
  <si>
    <t>Strong</t>
  </si>
  <si>
    <t>Sullivan</t>
  </si>
  <si>
    <t>Sutton</t>
  </si>
  <si>
    <t>Swanson</t>
  </si>
  <si>
    <t xml:space="preserve"> Vicki</t>
  </si>
  <si>
    <t>Sweeney</t>
  </si>
  <si>
    <t>Tanner</t>
  </si>
  <si>
    <t>Tate</t>
  </si>
  <si>
    <t xml:space="preserve"> Zachary</t>
  </si>
  <si>
    <t>Taylor</t>
  </si>
  <si>
    <t xml:space="preserve"> Hector</t>
  </si>
  <si>
    <t>Terry</t>
  </si>
  <si>
    <t>Thomas</t>
  </si>
  <si>
    <t>Thompson</t>
  </si>
  <si>
    <t>Thornton</t>
  </si>
  <si>
    <t>Todd</t>
  </si>
  <si>
    <t>Torres</t>
  </si>
  <si>
    <t>Townsend</t>
  </si>
  <si>
    <t xml:space="preserve"> Jerry</t>
  </si>
  <si>
    <t>Tran</t>
  </si>
  <si>
    <t>Trevino</t>
  </si>
  <si>
    <t>Trujillo</t>
  </si>
  <si>
    <t>Tucker</t>
  </si>
  <si>
    <t>Tyler</t>
  </si>
  <si>
    <t xml:space="preserve"> Javier</t>
  </si>
  <si>
    <t>Underwood</t>
  </si>
  <si>
    <t>Valdez</t>
  </si>
  <si>
    <t xml:space="preserve"> Ann</t>
  </si>
  <si>
    <t>Vance</t>
  </si>
  <si>
    <t xml:space="preserve"> Cheryl</t>
  </si>
  <si>
    <t>Vargas</t>
  </si>
  <si>
    <t xml:space="preserve"> Bryant</t>
  </si>
  <si>
    <t>Vasquez</t>
  </si>
  <si>
    <t>Vaughn</t>
  </si>
  <si>
    <t xml:space="preserve"> Harlon</t>
  </si>
  <si>
    <t>Vazquez</t>
  </si>
  <si>
    <t>Vega</t>
  </si>
  <si>
    <t xml:space="preserve"> Alexandra</t>
  </si>
  <si>
    <t>Velasquez</t>
  </si>
  <si>
    <t xml:space="preserve"> Clint</t>
  </si>
  <si>
    <t>Velez</t>
  </si>
  <si>
    <t xml:space="preserve"> Letitia</t>
  </si>
  <si>
    <t>Villarreal</t>
  </si>
  <si>
    <t>Vincent</t>
  </si>
  <si>
    <t xml:space="preserve"> Guy</t>
  </si>
  <si>
    <t>Wade</t>
  </si>
  <si>
    <t>Wagner</t>
  </si>
  <si>
    <t xml:space="preserve"> Lynne</t>
  </si>
  <si>
    <t>Walker</t>
  </si>
  <si>
    <t xml:space="preserve"> Mike</t>
  </si>
  <si>
    <t>Wall</t>
  </si>
  <si>
    <t>Wallace</t>
  </si>
  <si>
    <t>Walls</t>
  </si>
  <si>
    <t>Walsh</t>
  </si>
  <si>
    <t>Walter</t>
  </si>
  <si>
    <t>Walters</t>
  </si>
  <si>
    <t>Walton</t>
  </si>
  <si>
    <t xml:space="preserve"> Benjamin</t>
  </si>
  <si>
    <t>Ward</t>
  </si>
  <si>
    <t xml:space="preserve"> Williams</t>
  </si>
  <si>
    <t>Ware</t>
  </si>
  <si>
    <t>Warner</t>
  </si>
  <si>
    <t>Warren</t>
  </si>
  <si>
    <t xml:space="preserve"> Jean</t>
  </si>
  <si>
    <t>Washington</t>
  </si>
  <si>
    <t>Waters</t>
  </si>
  <si>
    <t xml:space="preserve"> Alfred</t>
  </si>
  <si>
    <t>Watkins</t>
  </si>
  <si>
    <t>Watson</t>
  </si>
  <si>
    <t xml:space="preserve"> Christian</t>
  </si>
  <si>
    <t>Watts</t>
  </si>
  <si>
    <t>Weaver</t>
  </si>
  <si>
    <t>Webb</t>
  </si>
  <si>
    <t xml:space="preserve"> Jim</t>
  </si>
  <si>
    <t>Weber</t>
  </si>
  <si>
    <t>Webster</t>
  </si>
  <si>
    <t>Weeks</t>
  </si>
  <si>
    <t>Weiss</t>
  </si>
  <si>
    <t xml:space="preserve"> Marisa</t>
  </si>
  <si>
    <t>Welch</t>
  </si>
  <si>
    <t>Wells</t>
  </si>
  <si>
    <t xml:space="preserve"> Carlos</t>
  </si>
  <si>
    <t>West</t>
  </si>
  <si>
    <t>Wheeler</t>
  </si>
  <si>
    <t xml:space="preserve"> Meegan</t>
  </si>
  <si>
    <t>Whitaker</t>
  </si>
  <si>
    <t>White</t>
  </si>
  <si>
    <t>Whitehead</t>
  </si>
  <si>
    <t xml:space="preserve"> Carolyn</t>
  </si>
  <si>
    <t>Wiggins</t>
  </si>
  <si>
    <t xml:space="preserve"> Frank</t>
  </si>
  <si>
    <t>Wilcox</t>
  </si>
  <si>
    <t>Wiley</t>
  </si>
  <si>
    <t xml:space="preserve"> Gustavo</t>
  </si>
  <si>
    <t>Wilkerson</t>
  </si>
  <si>
    <t xml:space="preserve"> Claudia</t>
  </si>
  <si>
    <t>Wilkins</t>
  </si>
  <si>
    <t xml:space="preserve"> Jesse</t>
  </si>
  <si>
    <t>William</t>
  </si>
  <si>
    <t>Williams</t>
  </si>
  <si>
    <t>Willis</t>
  </si>
  <si>
    <t xml:space="preserve"> Ralph</t>
  </si>
  <si>
    <t>Wilson</t>
  </si>
  <si>
    <t>Winters</t>
  </si>
  <si>
    <t>Wise</t>
  </si>
  <si>
    <t xml:space="preserve"> Ted</t>
  </si>
  <si>
    <t>Wolf</t>
  </si>
  <si>
    <t xml:space="preserve"> Debbie</t>
  </si>
  <si>
    <t>Wolfe</t>
  </si>
  <si>
    <t>Wong</t>
  </si>
  <si>
    <t>Wood</t>
  </si>
  <si>
    <t>Woodard</t>
  </si>
  <si>
    <t>Woods</t>
  </si>
  <si>
    <t xml:space="preserve"> Marcus</t>
  </si>
  <si>
    <t>Woodward</t>
  </si>
  <si>
    <t>Wright</t>
  </si>
  <si>
    <t xml:space="preserve"> Brad</t>
  </si>
  <si>
    <t>Wyatt</t>
  </si>
  <si>
    <t xml:space="preserve"> Kelly</t>
  </si>
  <si>
    <t>Yates</t>
  </si>
  <si>
    <t xml:space="preserve"> Doug</t>
  </si>
  <si>
    <t>York</t>
  </si>
  <si>
    <t>Young</t>
  </si>
  <si>
    <t>Zimmerman</t>
  </si>
  <si>
    <t xml:space="preserve"> Julian</t>
  </si>
  <si>
    <t>Last Name</t>
  </si>
  <si>
    <t xml:space="preserve">Our Company </t>
  </si>
  <si>
    <t>Employee Hours</t>
  </si>
  <si>
    <t>Hours Worked</t>
  </si>
  <si>
    <t>Full-Time</t>
  </si>
  <si>
    <t>555-55-7007</t>
  </si>
  <si>
    <t>555-55-5054</t>
  </si>
  <si>
    <t>555-55-5623</t>
  </si>
  <si>
    <t>555-55-6297</t>
  </si>
  <si>
    <t>555-55-4969</t>
  </si>
  <si>
    <t>555-55-8597</t>
  </si>
  <si>
    <t>555-55-3641</t>
  </si>
  <si>
    <t>555-55-3735</t>
  </si>
  <si>
    <t>555-55-7948</t>
  </si>
  <si>
    <t>555-55-5341</t>
  </si>
  <si>
    <t>555-55-8716</t>
  </si>
  <si>
    <t>555-55-5046</t>
  </si>
  <si>
    <t>555-55-5711</t>
  </si>
  <si>
    <t>555-55-4290</t>
  </si>
  <si>
    <t>555-55-1658</t>
  </si>
  <si>
    <t>555-55-8324</t>
  </si>
  <si>
    <t>555-55-0235</t>
  </si>
  <si>
    <t>555-55-5117</t>
  </si>
  <si>
    <t>555-55-8538</t>
  </si>
  <si>
    <t>555-55-4360</t>
  </si>
  <si>
    <t>555-55-8485</t>
  </si>
  <si>
    <t>555-55-2136</t>
  </si>
  <si>
    <t>555-55-3308</t>
  </si>
  <si>
    <t>555-55-6935</t>
  </si>
  <si>
    <t>555-55-0981</t>
  </si>
  <si>
    <t>555-55-6829</t>
  </si>
  <si>
    <t>555-55-4136</t>
  </si>
  <si>
    <t>555-55-6979</t>
  </si>
  <si>
    <t>555-55-9613</t>
  </si>
  <si>
    <t>555-55-5648</t>
  </si>
  <si>
    <t>555-55-7726</t>
  </si>
  <si>
    <t>555-55-0584</t>
  </si>
  <si>
    <t>555-55-4550</t>
  </si>
  <si>
    <t>555-55-4039</t>
  </si>
  <si>
    <t>555-55-1467</t>
  </si>
  <si>
    <t>555-55-0261</t>
  </si>
  <si>
    <t>555-55-0737</t>
  </si>
  <si>
    <t>555-55-2612</t>
  </si>
  <si>
    <t>555-55-5418</t>
  </si>
  <si>
    <t>555-55-8415</t>
  </si>
  <si>
    <t>555-55-4309</t>
  </si>
  <si>
    <t>555-55-4905</t>
  </si>
  <si>
    <t>555-55-0098</t>
  </si>
  <si>
    <t>555-55-5919</t>
  </si>
  <si>
    <t>555-55-3080</t>
  </si>
  <si>
    <t>555-55-6230</t>
  </si>
  <si>
    <t>555-55-2505</t>
  </si>
  <si>
    <t>555-55-7685</t>
  </si>
  <si>
    <t>555-55-6129</t>
  </si>
  <si>
    <t>555-55-4556</t>
  </si>
  <si>
    <t>555-55-8959</t>
  </si>
  <si>
    <t>555-55-6966</t>
  </si>
  <si>
    <t>555-55-5495</t>
  </si>
  <si>
    <t>555-55-3690</t>
  </si>
  <si>
    <t>555-55-6549</t>
  </si>
  <si>
    <t>555-55-0472</t>
  </si>
  <si>
    <t>555-55-2868</t>
  </si>
  <si>
    <t>555-55-9049</t>
  </si>
  <si>
    <t>555-55-2282</t>
  </si>
  <si>
    <t>555-55-5952</t>
  </si>
  <si>
    <t>555-55-1866</t>
  </si>
  <si>
    <t>555-55-1481</t>
  </si>
  <si>
    <t>555-55-1793</t>
  </si>
  <si>
    <t>555-55-5948</t>
  </si>
  <si>
    <t>555-55-9785</t>
  </si>
  <si>
    <t>555-55-7751</t>
  </si>
  <si>
    <t>555-55-1716</t>
  </si>
  <si>
    <t>555-55-1908</t>
  </si>
  <si>
    <t>555-55-6374</t>
  </si>
  <si>
    <t>555-55-2265</t>
  </si>
  <si>
    <t>555-55-0296</t>
  </si>
  <si>
    <t>555-55-3360</t>
  </si>
  <si>
    <t>555-55-6304</t>
  </si>
  <si>
    <t>555-55-3362</t>
  </si>
  <si>
    <t>555-55-3431</t>
  </si>
  <si>
    <t>555-55-0342</t>
  </si>
  <si>
    <t>555-55-3169</t>
  </si>
  <si>
    <t>555-55-2569</t>
  </si>
  <si>
    <t>555-55-5508</t>
  </si>
  <si>
    <t>555-55-6688</t>
  </si>
  <si>
    <t>555-55-2007</t>
  </si>
  <si>
    <t>555-55-0949</t>
  </si>
  <si>
    <t>555-55-4019</t>
  </si>
  <si>
    <t>555-55-4685</t>
  </si>
  <si>
    <t>555-55-5738</t>
  </si>
  <si>
    <t>555-55-5292</t>
  </si>
  <si>
    <t>555-55-8829</t>
  </si>
  <si>
    <t>555-55-2793</t>
  </si>
  <si>
    <t>555-55-3008</t>
  </si>
  <si>
    <t>555-55-9144</t>
  </si>
  <si>
    <t>555-55-4661</t>
  </si>
  <si>
    <t>555-55-6781</t>
  </si>
  <si>
    <t>555-55-2142</t>
  </si>
  <si>
    <t>555-55-8012</t>
  </si>
  <si>
    <t>555-55-4752</t>
  </si>
  <si>
    <t>555-55-1341</t>
  </si>
  <si>
    <t>555-55-6506</t>
  </si>
  <si>
    <t>555-55-4096</t>
  </si>
  <si>
    <t>555-55-5030</t>
  </si>
  <si>
    <t>555-55-9540</t>
  </si>
  <si>
    <t>555-55-1044</t>
  </si>
  <si>
    <t>555-55-6520</t>
  </si>
  <si>
    <t>555-55-2342</t>
  </si>
  <si>
    <t>555-55-8668</t>
  </si>
  <si>
    <t>555-55-0153</t>
  </si>
  <si>
    <t>555-55-9921</t>
  </si>
  <si>
    <t>555-55-5120</t>
  </si>
  <si>
    <t>555-55-8697</t>
  </si>
  <si>
    <t>555-55-7371</t>
  </si>
  <si>
    <t>555-55-5574</t>
  </si>
  <si>
    <t>555-55-2180</t>
  </si>
  <si>
    <t>555-55-6378</t>
  </si>
  <si>
    <t>555-55-1463</t>
  </si>
  <si>
    <t>555-55-4971</t>
  </si>
  <si>
    <t>555-55-6453</t>
  </si>
  <si>
    <t>555-55-2645</t>
  </si>
  <si>
    <t>555-55-3201</t>
  </si>
  <si>
    <t>555-55-3593</t>
  </si>
  <si>
    <t>555-55-3594</t>
  </si>
  <si>
    <t>555-55-2089</t>
  </si>
  <si>
    <t>555-55-4644</t>
  </si>
  <si>
    <t>555-55-6346</t>
  </si>
  <si>
    <t>555-55-1529</t>
  </si>
  <si>
    <t>555-55-3890</t>
  </si>
  <si>
    <t>555-55-2231</t>
  </si>
  <si>
    <t>555-55-6630</t>
  </si>
  <si>
    <t>555-55-3610</t>
  </si>
  <si>
    <t>555-55-6695</t>
  </si>
  <si>
    <t>555-55-5708</t>
  </si>
  <si>
    <t>555-55-0398</t>
  </si>
  <si>
    <t>555-55-5092</t>
  </si>
  <si>
    <t>555-55-2533</t>
  </si>
  <si>
    <t>555-55-4045</t>
  </si>
  <si>
    <t>555-55-9951</t>
  </si>
  <si>
    <t>555-55-0513</t>
  </si>
  <si>
    <t>555-55-0939</t>
  </si>
  <si>
    <t>555-55-2122</t>
  </si>
  <si>
    <t>555-55-3936</t>
  </si>
  <si>
    <t>555-55-6052</t>
  </si>
  <si>
    <t>555-55-4686</t>
  </si>
  <si>
    <t>555-55-9807</t>
  </si>
  <si>
    <t>555-55-7202</t>
  </si>
  <si>
    <t>555-55-5415</t>
  </si>
  <si>
    <t>555-55-8477</t>
  </si>
  <si>
    <t>555-55-0023</t>
  </si>
  <si>
    <t>555-55-8368</t>
  </si>
  <si>
    <t>555-55-9892</t>
  </si>
  <si>
    <t>555-55-7187</t>
  </si>
  <si>
    <t>555-55-3994</t>
  </si>
  <si>
    <t>555-55-5858</t>
  </si>
  <si>
    <t>555-55-6286</t>
  </si>
  <si>
    <t>555-55-4918</t>
  </si>
  <si>
    <t>555-55-5992</t>
  </si>
  <si>
    <t>555-55-8637</t>
  </si>
  <si>
    <t>555-55-3893</t>
  </si>
  <si>
    <t>555-55-6277</t>
  </si>
  <si>
    <t>555-55-1943</t>
  </si>
  <si>
    <t>555-55-8732</t>
  </si>
  <si>
    <t>555-55-7245</t>
  </si>
  <si>
    <t>555-55-0687</t>
  </si>
  <si>
    <t>555-55-6937</t>
  </si>
  <si>
    <t>555-55-9208</t>
  </si>
  <si>
    <t>555-55-0184</t>
  </si>
  <si>
    <t>555-55-6568</t>
  </si>
  <si>
    <t>555-55-3074</t>
  </si>
  <si>
    <t>555-55-5582</t>
  </si>
  <si>
    <t>555-55-7766</t>
  </si>
  <si>
    <t>555-55-8847</t>
  </si>
  <si>
    <t>555-55-5638</t>
  </si>
  <si>
    <t>555-55-0405</t>
  </si>
  <si>
    <t>555-55-7941</t>
  </si>
  <si>
    <t>555-55-6222</t>
  </si>
  <si>
    <t>555-55-1517</t>
  </si>
  <si>
    <t>555-55-5298</t>
  </si>
  <si>
    <t>555-55-6310</t>
  </si>
  <si>
    <t>555-55-4626</t>
  </si>
  <si>
    <t>555-55-2247</t>
  </si>
  <si>
    <t>555-55-4014</t>
  </si>
  <si>
    <t>555-55-4590</t>
  </si>
  <si>
    <t>555-55-4734</t>
  </si>
  <si>
    <t>555-55-3618</t>
  </si>
  <si>
    <t>555-55-0878</t>
  </si>
  <si>
    <t>555-55-7493</t>
  </si>
  <si>
    <t>555-55-6164</t>
  </si>
  <si>
    <t>555-55-6005</t>
  </si>
  <si>
    <t>555-55-2914</t>
  </si>
  <si>
    <t>555-55-7088</t>
  </si>
  <si>
    <t>555-55-0565</t>
  </si>
  <si>
    <t>555-55-9212</t>
  </si>
  <si>
    <t>555-55-7457</t>
  </si>
  <si>
    <t>555-55-0848</t>
  </si>
  <si>
    <t>555-55-2550</t>
  </si>
  <si>
    <t>555-55-7609</t>
  </si>
  <si>
    <t>555-55-2103</t>
  </si>
  <si>
    <t>555-55-7083</t>
  </si>
  <si>
    <t>555-55-8620</t>
  </si>
  <si>
    <t>555-55-7016</t>
  </si>
  <si>
    <t>555-55-9170</t>
  </si>
  <si>
    <t>555-55-4405</t>
  </si>
  <si>
    <t>555-55-3704</t>
  </si>
  <si>
    <t>555-55-4281</t>
  </si>
  <si>
    <t>555-55-5756</t>
  </si>
  <si>
    <t>555-55-4692</t>
  </si>
  <si>
    <t>555-55-5896</t>
  </si>
  <si>
    <t>555-55-7278</t>
  </si>
  <si>
    <t>555-55-6371</t>
  </si>
  <si>
    <t>555-55-9522</t>
  </si>
  <si>
    <t>555-55-0589</t>
  </si>
  <si>
    <t>555-55-0562</t>
  </si>
  <si>
    <t>555-55-5451</t>
  </si>
  <si>
    <t>555-55-7884</t>
  </si>
  <si>
    <t>555-55-4060</t>
  </si>
  <si>
    <t>555-55-9868</t>
  </si>
  <si>
    <t>555-55-9105</t>
  </si>
  <si>
    <t>555-55-4397</t>
  </si>
  <si>
    <t>555-55-9404</t>
  </si>
  <si>
    <t>555-55-0216</t>
  </si>
  <si>
    <t>555-55-3827</t>
  </si>
  <si>
    <t>555-55-1929</t>
  </si>
  <si>
    <t>555-55-7536</t>
  </si>
  <si>
    <t>555-55-4558</t>
  </si>
  <si>
    <t>555-55-6092</t>
  </si>
  <si>
    <t>555-55-5837</t>
  </si>
  <si>
    <t>555-55-4493</t>
  </si>
  <si>
    <t>555-55-0174</t>
  </si>
  <si>
    <t>555-55-4196</t>
  </si>
  <si>
    <t>555-55-0045</t>
  </si>
  <si>
    <t>555-55-3064</t>
  </si>
  <si>
    <t>555-55-1073</t>
  </si>
  <si>
    <t>555-55-3640</t>
  </si>
  <si>
    <t>555-55-0148</t>
  </si>
  <si>
    <t>555-55-1036</t>
  </si>
  <si>
    <t>555-55-3222</t>
  </si>
  <si>
    <t>555-55-7063</t>
  </si>
  <si>
    <t>555-55-0654</t>
  </si>
  <si>
    <t>555-55-8336</t>
  </si>
  <si>
    <t>555-55-2736</t>
  </si>
  <si>
    <t>555-55-0898</t>
  </si>
  <si>
    <t>555-55-2349</t>
  </si>
  <si>
    <t>555-55-6287</t>
  </si>
  <si>
    <t>555-55-5237</t>
  </si>
  <si>
    <t>555-55-9442</t>
  </si>
  <si>
    <t>555-55-4347</t>
  </si>
  <si>
    <t>555-55-0628</t>
  </si>
  <si>
    <t>555-55-8287</t>
  </si>
  <si>
    <t>555-55-0058</t>
  </si>
  <si>
    <t>555-55-1312</t>
  </si>
  <si>
    <t>555-55-4238</t>
  </si>
  <si>
    <t>555-55-7291</t>
  </si>
  <si>
    <t>555-55-2289</t>
  </si>
  <si>
    <t>555-55-2141</t>
  </si>
  <si>
    <t>555-55-9285</t>
  </si>
  <si>
    <t>555-55-4593</t>
  </si>
  <si>
    <t>555-55-2665</t>
  </si>
  <si>
    <t>555-55-4997</t>
  </si>
  <si>
    <t>555-55-8084</t>
  </si>
  <si>
    <t>555-55-0671</t>
  </si>
  <si>
    <t>555-55-4804</t>
  </si>
  <si>
    <t>555-55-1462</t>
  </si>
  <si>
    <t>555-55-3024</t>
  </si>
  <si>
    <t>555-55-3249</t>
  </si>
  <si>
    <t>555-55-0854</t>
  </si>
  <si>
    <t>555-55-4659</t>
  </si>
  <si>
    <t>555-55-5434</t>
  </si>
  <si>
    <t>555-55-7073</t>
  </si>
  <si>
    <t>555-55-1920</t>
  </si>
  <si>
    <t>555-55-4156</t>
  </si>
  <si>
    <t>555-55-2156</t>
  </si>
  <si>
    <t>555-55-3266</t>
  </si>
  <si>
    <t>555-55-1611</t>
  </si>
  <si>
    <t>555-55-4970</t>
  </si>
  <si>
    <t>555-55-0510</t>
  </si>
  <si>
    <t>555-55-8713</t>
  </si>
  <si>
    <t>555-55-2924</t>
  </si>
  <si>
    <t>555-55-4851</t>
  </si>
  <si>
    <t>555-55-6654</t>
  </si>
  <si>
    <t>555-55-6131</t>
  </si>
  <si>
    <t>555-55-3478</t>
  </si>
  <si>
    <t>555-55-4739</t>
  </si>
  <si>
    <t>555-55-1562</t>
  </si>
  <si>
    <t>555-55-2897</t>
  </si>
  <si>
    <t>555-55-8207</t>
  </si>
  <si>
    <t>555-55-2209</t>
  </si>
  <si>
    <t>555-55-7055</t>
  </si>
  <si>
    <t>555-55-1320</t>
  </si>
  <si>
    <t>555-55-0921</t>
  </si>
  <si>
    <t>555-55-3006</t>
  </si>
  <si>
    <t>555-55-0791</t>
  </si>
  <si>
    <t>555-55-8783</t>
  </si>
  <si>
    <t>555-55-5419</t>
  </si>
  <si>
    <t>555-55-1946</t>
  </si>
  <si>
    <t>555-55-9017</t>
  </si>
  <si>
    <t>555-55-5191</t>
  </si>
  <si>
    <t>555-55-2240</t>
  </si>
  <si>
    <t>555-55-5080</t>
  </si>
  <si>
    <t>555-55-5371</t>
  </si>
  <si>
    <t>555-55-6564</t>
  </si>
  <si>
    <t>555-55-3282</t>
  </si>
  <si>
    <t>555-55-5285</t>
  </si>
  <si>
    <t>555-55-8171</t>
  </si>
  <si>
    <t>555-55-9909</t>
  </si>
  <si>
    <t>555-55-6972</t>
  </si>
  <si>
    <t>555-55-8311</t>
  </si>
  <si>
    <t>555-55-6507</t>
  </si>
  <si>
    <t>555-55-9503</t>
  </si>
  <si>
    <t>555-55-8346</t>
  </si>
  <si>
    <t>555-55-3920</t>
  </si>
  <si>
    <t>555-55-0310</t>
  </si>
  <si>
    <t>555-55-2625</t>
  </si>
  <si>
    <t>555-55-3806</t>
  </si>
  <si>
    <t>555-55-1351</t>
  </si>
  <si>
    <t>555-55-2755</t>
  </si>
  <si>
    <t>555-55-8490</t>
  </si>
  <si>
    <t>555-55-1135</t>
  </si>
  <si>
    <t>555-55-3236</t>
  </si>
  <si>
    <t>555-55-6169</t>
  </si>
  <si>
    <t>555-55-8687</t>
  </si>
  <si>
    <t>555-55-9557</t>
  </si>
  <si>
    <t>555-55-3231</t>
  </si>
  <si>
    <t>555-55-7673</t>
  </si>
  <si>
    <t>555-55-3786</t>
  </si>
  <si>
    <t>555-55-4981</t>
  </si>
  <si>
    <t>555-55-5096</t>
  </si>
  <si>
    <t>555-55-6635</t>
  </si>
  <si>
    <t>555-55-9803</t>
  </si>
  <si>
    <t>555-55-0378</t>
  </si>
  <si>
    <t>555-55-5055</t>
  </si>
  <si>
    <t>555-55-2514</t>
  </si>
  <si>
    <t>555-55-1317</t>
  </si>
  <si>
    <t>555-55-9861</t>
  </si>
  <si>
    <t>555-55-0672</t>
  </si>
  <si>
    <t>555-55-0602</t>
  </si>
  <si>
    <t>555-55-2757</t>
  </si>
  <si>
    <t>555-55-1822</t>
  </si>
  <si>
    <t>555-55-0590</t>
  </si>
  <si>
    <t>555-55-5666</t>
  </si>
  <si>
    <t>555-55-6180</t>
  </si>
  <si>
    <t>555-55-4935</t>
  </si>
  <si>
    <t>555-55-6720</t>
  </si>
  <si>
    <t>555-55-4481</t>
  </si>
  <si>
    <t>555-55-6666</t>
  </si>
  <si>
    <t>555-55-3063</t>
  </si>
  <si>
    <t>555-55-9288</t>
  </si>
  <si>
    <t>555-55-8599</t>
  </si>
  <si>
    <t>555-55-8680</t>
  </si>
  <si>
    <t>555-55-1041</t>
  </si>
  <si>
    <t>555-55-7010</t>
  </si>
  <si>
    <t>555-55-2708</t>
  </si>
  <si>
    <t>555-55-3692</t>
  </si>
  <si>
    <t>555-55-8919</t>
  </si>
  <si>
    <t>555-55-0539</t>
  </si>
  <si>
    <t>555-55-9770</t>
  </si>
  <si>
    <t>555-55-0861</t>
  </si>
  <si>
    <t>555-55-4421</t>
  </si>
  <si>
    <t>555-55-5100</t>
  </si>
  <si>
    <t>555-55-2502</t>
  </si>
  <si>
    <t>555-55-7428</t>
  </si>
  <si>
    <t>555-55-9466</t>
  </si>
  <si>
    <t>555-55-8310</t>
  </si>
  <si>
    <t>555-55-9833</t>
  </si>
  <si>
    <t>555-55-0279</t>
  </si>
  <si>
    <t>555-55-8203</t>
  </si>
  <si>
    <t>555-55-1127</t>
  </si>
  <si>
    <t>555-55-7800</t>
  </si>
  <si>
    <t>555-55-9383</t>
  </si>
  <si>
    <t>555-55-1070</t>
  </si>
  <si>
    <t>555-55-2195</t>
  </si>
  <si>
    <t>555-55-4926</t>
  </si>
  <si>
    <t>555-55-9513</t>
  </si>
  <si>
    <t>555-55-4672</t>
  </si>
  <si>
    <t>555-55-6921</t>
  </si>
  <si>
    <t>555-55-9446</t>
  </si>
  <si>
    <t>555-55-7692</t>
  </si>
  <si>
    <t>555-55-1354</t>
  </si>
  <si>
    <t>555-55-5803</t>
  </si>
  <si>
    <t>555-55-3520</t>
  </si>
  <si>
    <t>555-55-1985</t>
  </si>
  <si>
    <t>555-55-3524</t>
  </si>
  <si>
    <t>555-55-1302</t>
  </si>
  <si>
    <t>555-55-8553</t>
  </si>
  <si>
    <t>555-55-0573</t>
  </si>
  <si>
    <t>555-55-2853</t>
  </si>
  <si>
    <t>555-55-9089</t>
  </si>
  <si>
    <t>555-55-5501</t>
  </si>
  <si>
    <t>555-55-3118</t>
  </si>
  <si>
    <t>555-55-5248</t>
  </si>
  <si>
    <t>555-55-7232</t>
  </si>
  <si>
    <t>555-55-5793</t>
  </si>
  <si>
    <t>555-55-2408</t>
  </si>
  <si>
    <t>555-55-3854</t>
  </si>
  <si>
    <t>555-55-9447</t>
  </si>
  <si>
    <t>555-55-5140</t>
  </si>
  <si>
    <t>555-55-0902</t>
  </si>
  <si>
    <t>555-55-3739</t>
  </si>
  <si>
    <t>555-55-9373</t>
  </si>
  <si>
    <t>555-55-7002</t>
  </si>
  <si>
    <t>555-55-7584</t>
  </si>
  <si>
    <t>555-55-4130</t>
  </si>
  <si>
    <t>555-55-9297</t>
  </si>
  <si>
    <t>555-55-0277</t>
  </si>
  <si>
    <t>555-55-2018</t>
  </si>
  <si>
    <t>555-55-9092</t>
  </si>
  <si>
    <t>555-55-0441</t>
  </si>
  <si>
    <t>555-55-9231</t>
  </si>
  <si>
    <t>555-55-3842</t>
  </si>
  <si>
    <t>555-55-7973</t>
  </si>
  <si>
    <t>555-55-7392</t>
  </si>
  <si>
    <t>555-55-4025</t>
  </si>
  <si>
    <t>555-55-7467</t>
  </si>
  <si>
    <t>555-55-2432</t>
  </si>
  <si>
    <t>555-55-7652</t>
  </si>
  <si>
    <t>555-55-2113</t>
  </si>
  <si>
    <t>555-55-5603</t>
  </si>
  <si>
    <t>555-55-4260</t>
  </si>
  <si>
    <t>555-55-2117</t>
  </si>
  <si>
    <t>555-55-7475</t>
  </si>
  <si>
    <t>555-55-0042</t>
  </si>
  <si>
    <t>555-55-8686</t>
  </si>
  <si>
    <t>555-55-9228</t>
  </si>
  <si>
    <t>555-55-8747</t>
  </si>
  <si>
    <t>555-55-4152</t>
  </si>
  <si>
    <t>555-55-9349</t>
  </si>
  <si>
    <t>555-55-6821</t>
  </si>
  <si>
    <t>555-55-8211</t>
  </si>
  <si>
    <t>555-55-6053</t>
  </si>
  <si>
    <t>555-55-7318</t>
  </si>
  <si>
    <t>555-55-3376</t>
  </si>
  <si>
    <t>555-55-4761</t>
  </si>
  <si>
    <t>555-55-1597</t>
  </si>
  <si>
    <t>555-55-9111</t>
  </si>
  <si>
    <t>555-55-4592</t>
  </si>
  <si>
    <t>555-55-7166</t>
  </si>
  <si>
    <t>555-55-3221</t>
  </si>
  <si>
    <t>555-55-5019</t>
  </si>
  <si>
    <t>555-55-7314</t>
  </si>
  <si>
    <t>555-55-6401</t>
  </si>
  <si>
    <t>555-55-8720</t>
  </si>
  <si>
    <t>555-55-3068</t>
  </si>
  <si>
    <t>555-55-2637</t>
  </si>
  <si>
    <t>555-55-8228</t>
  </si>
  <si>
    <t>555-55-9257</t>
  </si>
  <si>
    <t>555-55-4314</t>
  </si>
  <si>
    <t>555-55-0847</t>
  </si>
  <si>
    <t>555-55-7629</t>
  </si>
  <si>
    <t>555-55-6975</t>
  </si>
  <si>
    <t>555-55-2235</t>
  </si>
  <si>
    <t>555-55-5552</t>
  </si>
  <si>
    <t>555-55-9057</t>
  </si>
  <si>
    <t>555-55-9693</t>
  </si>
  <si>
    <t>555-55-9555</t>
  </si>
  <si>
    <t>555-55-6433</t>
  </si>
  <si>
    <t>555-55-1719</t>
  </si>
  <si>
    <t>555-55-0229</t>
  </si>
  <si>
    <t>555-55-4571</t>
  </si>
  <si>
    <t>555-55-7587</t>
  </si>
  <si>
    <t>555-55-7790</t>
  </si>
  <si>
    <t>555-55-0396</t>
  </si>
  <si>
    <t>555-55-6626</t>
  </si>
  <si>
    <t>555-55-8501</t>
  </si>
  <si>
    <t>555-55-5239</t>
  </si>
  <si>
    <t>555-55-5735</t>
  </si>
  <si>
    <t>555-55-4349</t>
  </si>
  <si>
    <t>555-55-4501</t>
  </si>
  <si>
    <t>555-55-0187</t>
  </si>
  <si>
    <t>555-55-7306</t>
  </si>
  <si>
    <t>555-55-5137</t>
  </si>
  <si>
    <t>555-55-9642</t>
  </si>
  <si>
    <t>555-55-4759</t>
  </si>
  <si>
    <t>555-55-3795</t>
  </si>
  <si>
    <t>555-55-6199</t>
  </si>
  <si>
    <t>555-55-5364</t>
  </si>
  <si>
    <t>555-55-0766</t>
  </si>
  <si>
    <t>555-55-6583</t>
  </si>
  <si>
    <t>555-55-6711</t>
  </si>
  <si>
    <t>555-55-1328</t>
  </si>
  <si>
    <t>555-55-9459</t>
  </si>
  <si>
    <t>555-55-3751</t>
  </si>
  <si>
    <t>555-55-9495</t>
  </si>
  <si>
    <t>555-55-4799</t>
  </si>
  <si>
    <t>555-55-9267</t>
  </si>
  <si>
    <t>555-55-6809</t>
  </si>
  <si>
    <t>555-55-5078</t>
  </si>
  <si>
    <t>555-55-0395</t>
  </si>
  <si>
    <t>555-55-7877</t>
  </si>
  <si>
    <t>555-55-1225</t>
  </si>
  <si>
    <t>555-55-8594</t>
  </si>
  <si>
    <t>555-55-4480</t>
  </si>
  <si>
    <t>555-55-4412</t>
  </si>
  <si>
    <t>555-55-1890</t>
  </si>
  <si>
    <t>555-55-7320</t>
  </si>
  <si>
    <t>555-55-9924</t>
  </si>
  <si>
    <t>555-55-1975</t>
  </si>
  <si>
    <t>555-55-0417</t>
  </si>
  <si>
    <t>555-55-1650</t>
  </si>
  <si>
    <t>555-55-3972</t>
  </si>
  <si>
    <t>555-55-1244</t>
  </si>
  <si>
    <t>555-55-1882</t>
  </si>
  <si>
    <t>555-55-7476</t>
  </si>
  <si>
    <t>555-55-7400</t>
  </si>
  <si>
    <t>555-55-9498</t>
  </si>
  <si>
    <t>555-55-5933</t>
  </si>
  <si>
    <t>555-55-2883</t>
  </si>
  <si>
    <t>555-55-6665</t>
  </si>
  <si>
    <t>555-55-3797</t>
  </si>
  <si>
    <t>555-55-8119</t>
  </si>
  <si>
    <t>555-55-6015</t>
  </si>
  <si>
    <t>555-55-3407</t>
  </si>
  <si>
    <t>555-55-1365</t>
  </si>
  <si>
    <t>555-55-3584</t>
  </si>
  <si>
    <t>555-55-5723</t>
  </si>
  <si>
    <t>555-55-3875</t>
  </si>
  <si>
    <t>555-55-6151</t>
  </si>
  <si>
    <t>555-55-1714</t>
  </si>
  <si>
    <t>555-55-0893</t>
  </si>
  <si>
    <t>555-55-4540</t>
  </si>
  <si>
    <t>555-55-1186</t>
  </si>
  <si>
    <t>555-55-1956</t>
  </si>
  <si>
    <t>555-55-0563</t>
  </si>
  <si>
    <t>555-55-1222</t>
  </si>
  <si>
    <t>555-55-4119</t>
  </si>
  <si>
    <t>555-55-3263</t>
  </si>
  <si>
    <t>555-55-7593</t>
  </si>
  <si>
    <t>555-55-8763</t>
  </si>
  <si>
    <t>555-55-3359</t>
  </si>
  <si>
    <t>555-55-1408</t>
  </si>
  <si>
    <t>555-55-3824</t>
  </si>
  <si>
    <t>555-55-3591</t>
  </si>
  <si>
    <t>555-55-8183</t>
  </si>
  <si>
    <t>555-55-3695</t>
  </si>
  <si>
    <t>555-55-7915</t>
  </si>
  <si>
    <t>555-55-8896</t>
  </si>
  <si>
    <t>555-55-2583</t>
  </si>
  <si>
    <t>555-55-0518</t>
  </si>
  <si>
    <t>555-55-8088</t>
  </si>
  <si>
    <t>555-55-1335</t>
  </si>
  <si>
    <t>555-55-7255</t>
  </si>
  <si>
    <t>555-55-8761</t>
  </si>
  <si>
    <t>555-55-8765</t>
  </si>
  <si>
    <t>555-55-4018</t>
  </si>
  <si>
    <t>555-55-2647</t>
  </si>
  <si>
    <t>555-55-4785</t>
  </si>
  <si>
    <t>555-55-1549</t>
  </si>
  <si>
    <t>555-55-0422</t>
  </si>
  <si>
    <t>555-55-1910</t>
  </si>
  <si>
    <t>555-55-0119</t>
  </si>
  <si>
    <t>555-55-4707</t>
  </si>
  <si>
    <t>555-55-2805</t>
  </si>
  <si>
    <t>555-55-9262</t>
  </si>
  <si>
    <t>555-55-1894</t>
  </si>
  <si>
    <t>555-55-8623</t>
  </si>
  <si>
    <t>555-55-1315</t>
  </si>
  <si>
    <t>555-55-2222</t>
  </si>
  <si>
    <t>555-55-1418</t>
  </si>
  <si>
    <t>555-55-3229</t>
  </si>
  <si>
    <t>555-55-1321</t>
  </si>
  <si>
    <t>555-55-2154</t>
  </si>
  <si>
    <t>555-55-6062</t>
  </si>
  <si>
    <t>555-55-9945</t>
  </si>
  <si>
    <t>555-55-9830</t>
  </si>
  <si>
    <t>555-55-3144</t>
  </si>
  <si>
    <t>555-55-2070</t>
  </si>
  <si>
    <t>555-55-0882</t>
  </si>
  <si>
    <t>555-55-0290</t>
  </si>
  <si>
    <t>555-55-0186</t>
  </si>
  <si>
    <t>555-55-9578</t>
  </si>
  <si>
    <t>555-55-6577</t>
  </si>
  <si>
    <t>555-55-0407</t>
  </si>
  <si>
    <t>555-55-2967</t>
  </si>
  <si>
    <t>555-55-4162</t>
  </si>
  <si>
    <t>555-55-4448</t>
  </si>
  <si>
    <t>555-55-0388</t>
  </si>
  <si>
    <t>555-55-1464</t>
  </si>
  <si>
    <t>555-55-1095</t>
  </si>
  <si>
    <t>555-55-6890</t>
  </si>
  <si>
    <t>555-55-6783</t>
  </si>
  <si>
    <t>555-55-7504</t>
  </si>
  <si>
    <t>555-55-3805</t>
  </si>
  <si>
    <t>555-55-4765</t>
  </si>
  <si>
    <t>555-55-5612</t>
  </si>
  <si>
    <t>555-55-9648</t>
  </si>
  <si>
    <t>555-55-7459</t>
  </si>
  <si>
    <t>555-55-4379</t>
  </si>
  <si>
    <t>555-55-7417</t>
  </si>
  <si>
    <t>555-55-8979</t>
  </si>
  <si>
    <t>555-55-7562</t>
  </si>
  <si>
    <t>555-55-2503</t>
  </si>
  <si>
    <t>555-55-7373</t>
  </si>
  <si>
    <t>555-55-3685</t>
  </si>
  <si>
    <t>555-55-5639</t>
  </si>
  <si>
    <t>555-55-6012</t>
  </si>
  <si>
    <t>555-55-9482</t>
  </si>
  <si>
    <t>555-55-0617</t>
  </si>
  <si>
    <t>555-55-4934</t>
  </si>
  <si>
    <t>555-55-5788</t>
  </si>
  <si>
    <t>555-55-3216</t>
  </si>
  <si>
    <t>555-55-2934</t>
  </si>
  <si>
    <t>555-55-1569</t>
  </si>
  <si>
    <t>555-55-1383</t>
  </si>
  <si>
    <t>555-55-3638</t>
  </si>
  <si>
    <t>555-55-6341</t>
  </si>
  <si>
    <t>555-55-0447</t>
  </si>
  <si>
    <t>555-55-8795</t>
  </si>
  <si>
    <t>555-55-6163</t>
  </si>
  <si>
    <t>555-55-5963</t>
  </si>
  <si>
    <t>555-55-7379</t>
  </si>
  <si>
    <t>555-55-4190</t>
  </si>
  <si>
    <t>555-55-7704</t>
  </si>
  <si>
    <t>555-55-2576</t>
  </si>
  <si>
    <t>555-55-3292</t>
  </si>
  <si>
    <t>555-55-8224</t>
  </si>
  <si>
    <t>555-55-3550</t>
  </si>
  <si>
    <t>555-55-9123</t>
  </si>
  <si>
    <t>555-55-7784</t>
  </si>
  <si>
    <t>555-55-4973</t>
  </si>
  <si>
    <t>555-55-6157</t>
  </si>
  <si>
    <t>555-55-5481</t>
  </si>
  <si>
    <t>555-55-9622</t>
  </si>
  <si>
    <t>555-55-7848</t>
  </si>
  <si>
    <t>555-55-1310</t>
  </si>
  <si>
    <t>555-55-9042</t>
  </si>
  <si>
    <t>555-55-4784</t>
  </si>
  <si>
    <t>555-55-3732</t>
  </si>
  <si>
    <t>555-55-4716</t>
  </si>
  <si>
    <t>555-55-5443</t>
  </si>
  <si>
    <t>555-55-0128</t>
  </si>
  <si>
    <t>555-55-7564</t>
  </si>
  <si>
    <t>555-55-6299</t>
  </si>
  <si>
    <t>555-55-5362</t>
  </si>
  <si>
    <t>555-55-2873</t>
  </si>
  <si>
    <t>555-55-2669</t>
  </si>
  <si>
    <t>555-55-9767</t>
  </si>
  <si>
    <t>555-55-7384</t>
  </si>
  <si>
    <t>555-55-5182</t>
  </si>
  <si>
    <t>555-55-8355</t>
  </si>
  <si>
    <t>555-55-4764</t>
  </si>
  <si>
    <t>555-55-1400</t>
  </si>
  <si>
    <t>555-55-7484</t>
  </si>
  <si>
    <t>555-55-1859</t>
  </si>
  <si>
    <t>555-55-6994</t>
  </si>
  <si>
    <t>555-55-2686</t>
  </si>
  <si>
    <t>555-55-6668</t>
  </si>
  <si>
    <t>555-55-4212</t>
  </si>
  <si>
    <t>555-55-5853</t>
  </si>
  <si>
    <t>555-55-5620</t>
  </si>
  <si>
    <t>555-55-4531</t>
  </si>
  <si>
    <t>555-55-2019</t>
  </si>
  <si>
    <t>555-55-1715</t>
  </si>
  <si>
    <t>555-55-4142</t>
  </si>
  <si>
    <t>555-55-5290</t>
  </si>
  <si>
    <t>555-55-0649</t>
  </si>
  <si>
    <t>555-55-8632</t>
  </si>
  <si>
    <t>555-55-1388</t>
  </si>
  <si>
    <t>555-55-1610</t>
  </si>
  <si>
    <t>555-55-7827</t>
  </si>
  <si>
    <t>555-55-1409</t>
  </si>
  <si>
    <t>555-55-6677</t>
  </si>
  <si>
    <t>555-55-0839</t>
  </si>
  <si>
    <t>555-55-6482</t>
  </si>
  <si>
    <t>555-55-4993</t>
  </si>
  <si>
    <t>555-55-0646</t>
  </si>
  <si>
    <t>555-55-4575</t>
  </si>
  <si>
    <t>555-55-0329</t>
  </si>
  <si>
    <t>555-55-2423</t>
  </si>
  <si>
    <t>555-55-9660</t>
  </si>
  <si>
    <t>555-55-0767</t>
  </si>
  <si>
    <t>555-55-4342</t>
  </si>
  <si>
    <t>555-55-3382</t>
  </si>
  <si>
    <t>555-55-9723</t>
  </si>
  <si>
    <t>555-55-7107</t>
  </si>
  <si>
    <t>555-55-2635</t>
  </si>
  <si>
    <t>555-55-2474</t>
  </si>
  <si>
    <t>Make some macros that will:</t>
  </si>
  <si>
    <t>The phone number are actually in London (+44) 555-555-5555</t>
  </si>
  <si>
    <t>Change the Birthdays so they don't display the year</t>
  </si>
  <si>
    <t>Birthday</t>
  </si>
  <si>
    <t>Make Macros Here</t>
  </si>
  <si>
    <t>Test Macros Here</t>
  </si>
  <si>
    <t>Record some macros that will…</t>
  </si>
  <si>
    <t>Customize SS#'s format to display last 4 digits only.</t>
  </si>
  <si>
    <t>Hint! These should all be recorded using "Relative Cell References"</t>
  </si>
  <si>
    <t>Use Right function in column G, then copy and paste values, then copy and paste back in column E</t>
  </si>
  <si>
    <t xml:space="preserve">Custom Number Format = mmmm dd </t>
  </si>
  <si>
    <t>(January 2016 - Thousands of Dollars)</t>
  </si>
  <si>
    <t>Week 1</t>
  </si>
  <si>
    <t>Week 2</t>
  </si>
  <si>
    <t>Week 3</t>
  </si>
  <si>
    <t>Week 4</t>
  </si>
  <si>
    <t xml:space="preserve">Ctrl + Shift + E </t>
  </si>
  <si>
    <t>Ctrl + Shift + B</t>
  </si>
  <si>
    <t>Ctrl + Shift +  S</t>
  </si>
  <si>
    <t>Sort by Department</t>
  </si>
  <si>
    <t>Filter for Full-Time status</t>
  </si>
  <si>
    <t>Filter for Hours over 40</t>
  </si>
  <si>
    <t>Custom Number Format = (+44) ###-####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</si>
</sst>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  <numFmt numFmtId="167" formatCode="_(&quot;$&quot;* #,##0.0000_);_(&quot;$&quot;* \(#,##0.0000\);_(&quot;$&quot;* &quot;-&quot;??_);_(@_)"/>
    <numFmt numFmtId="168" formatCode="_(&quot;$&quot;* #,##0.000_);_(&quot;$&quot;* \(#,##0.000\);_(&quot;$&quot;* &quot;-&quot;??_);_(@_)"/>
    <numFmt numFmtId="169" formatCode="0.000"/>
    <numFmt numFmtId="170" formatCode="_(* #,##0.000_);_(* \(#,##0.000\);_(* &quot;-&quot;??_);_(@_)"/>
    <numFmt numFmtId="171" formatCode="&quot;$&quot;#,##0"/>
    <numFmt numFmtId="172" formatCode="_(* #,##0.0_);_(* \(#,##0.0\);_(* &quot;-&quot;??_);_(@_)"/>
    <numFmt numFmtId="173" formatCode="0.0%;[Red]\-0.0%"/>
    <numFmt numFmtId="174" formatCode="000\-00\-0000"/>
    <numFmt numFmtId="175" formatCode="[&lt;=9999999]###\-####;\(###\)\ ###\-####"/>
    <numFmt numFmtId="176" formatCode="&quot;***-**-&quot;####"/>
  </numFmts>
  <fonts count="3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4"/>
      <name val="Calibri"/>
      <family val="2"/>
    </font>
    <font>
      <sz val="14"/>
      <name val="Calibri"/>
      <family val="2"/>
    </font>
    <font>
      <b/>
      <i/>
      <sz val="14"/>
      <color theme="0" tint="-0.499984740745262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i/>
      <sz val="24"/>
      <color theme="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theme="0"/>
      <name val="Calibri"/>
      <family val="2"/>
      <scheme val="minor"/>
    </font>
    <font>
      <b/>
      <i/>
      <sz val="12"/>
      <color theme="0"/>
      <name val="Calibri"/>
      <family val="2"/>
    </font>
    <font>
      <sz val="10"/>
      <name val="Adobe Gothic Std B"/>
      <family val="2"/>
      <charset val="128"/>
    </font>
    <font>
      <b/>
      <sz val="18"/>
      <name val="Adobe Gothic Std B"/>
      <family val="2"/>
      <charset val="128"/>
    </font>
    <font>
      <b/>
      <sz val="14"/>
      <color theme="9"/>
      <name val="Calibri"/>
      <family val="2"/>
      <scheme val="minor"/>
    </font>
    <font>
      <sz val="10"/>
      <color theme="5"/>
      <name val="Calibri"/>
      <family val="2"/>
    </font>
    <font>
      <sz val="10"/>
      <color indexed="8"/>
      <name val="Arial"/>
      <family val="2"/>
    </font>
    <font>
      <sz val="22"/>
      <color theme="0"/>
      <name val="Calibri"/>
      <family val="2"/>
    </font>
    <font>
      <sz val="14"/>
      <color theme="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2" borderId="2"/>
    <xf numFmtId="44" fontId="3" fillId="0" borderId="0" applyFont="0" applyFill="0" applyBorder="0" applyAlignment="0" applyProtection="0"/>
    <xf numFmtId="0" fontId="24" fillId="7" borderId="0" applyNumberFormat="0" applyBorder="0" applyAlignment="0" applyProtection="0"/>
    <xf numFmtId="0" fontId="30" fillId="0" borderId="0"/>
    <xf numFmtId="9" fontId="15" fillId="0" borderId="0" applyFont="0" applyFill="0" applyBorder="0" applyAlignment="0" applyProtection="0"/>
  </cellStyleXfs>
  <cellXfs count="206">
    <xf numFmtId="0" fontId="0" fillId="0" borderId="0" xfId="0"/>
    <xf numFmtId="0" fontId="6" fillId="0" borderId="0" xfId="4" applyFont="1" applyFill="1" applyBorder="1" applyAlignment="1">
      <alignment horizontal="center" vertical="center"/>
    </xf>
    <xf numFmtId="0" fontId="12" fillId="0" borderId="0" xfId="4" applyFont="1" applyAlignment="1">
      <alignment horizontal="center"/>
    </xf>
    <xf numFmtId="0" fontId="4" fillId="0" borderId="0" xfId="4" applyFont="1" applyFill="1" applyBorder="1"/>
    <xf numFmtId="0" fontId="4" fillId="0" borderId="0" xfId="2" applyFont="1" applyFill="1" applyBorder="1"/>
    <xf numFmtId="0" fontId="2" fillId="0" borderId="0" xfId="1" applyFont="1" applyFill="1" applyBorder="1"/>
    <xf numFmtId="0" fontId="4" fillId="0" borderId="0" xfId="4" applyFont="1"/>
    <xf numFmtId="0" fontId="12" fillId="0" borderId="0" xfId="4" applyFont="1" applyFill="1"/>
    <xf numFmtId="43" fontId="12" fillId="0" borderId="0" xfId="5" applyFont="1" applyFill="1"/>
    <xf numFmtId="0" fontId="12" fillId="0" borderId="0" xfId="4" applyFont="1"/>
    <xf numFmtId="0" fontId="12" fillId="0" borderId="0" xfId="4" applyFont="1" applyFill="1" applyBorder="1" applyAlignment="1">
      <alignment horizontal="right"/>
    </xf>
    <xf numFmtId="0" fontId="12" fillId="0" borderId="0" xfId="4" applyFont="1" applyBorder="1"/>
    <xf numFmtId="44" fontId="12" fillId="0" borderId="0" xfId="8" applyFont="1" applyFill="1" applyBorder="1"/>
    <xf numFmtId="43" fontId="12" fillId="0" borderId="0" xfId="5" applyFont="1" applyFill="1" applyBorder="1"/>
    <xf numFmtId="14" fontId="12" fillId="0" borderId="0" xfId="4" applyNumberFormat="1" applyFont="1" applyFill="1"/>
    <xf numFmtId="18" fontId="12" fillId="0" borderId="0" xfId="4" applyNumberFormat="1" applyFont="1" applyFill="1"/>
    <xf numFmtId="40" fontId="12" fillId="0" borderId="0" xfId="4" applyNumberFormat="1" applyFont="1" applyFill="1" applyBorder="1"/>
    <xf numFmtId="0" fontId="12" fillId="0" borderId="0" xfId="4" applyFont="1" applyFill="1" applyBorder="1"/>
    <xf numFmtId="0" fontId="13" fillId="0" borderId="0" xfId="4" applyFont="1"/>
    <xf numFmtId="166" fontId="12" fillId="0" borderId="0" xfId="6" applyNumberFormat="1" applyFont="1" applyFill="1"/>
    <xf numFmtId="173" fontId="12" fillId="0" borderId="0" xfId="4" applyNumberFormat="1" applyFont="1" applyFill="1"/>
    <xf numFmtId="172" fontId="12" fillId="0" borderId="0" xfId="5" applyNumberFormat="1" applyFont="1" applyFill="1"/>
    <xf numFmtId="0" fontId="14" fillId="0" borderId="0" xfId="4" applyFont="1"/>
    <xf numFmtId="0" fontId="12" fillId="0" borderId="0" xfId="4" applyFont="1" applyProtection="1"/>
    <xf numFmtId="0" fontId="12" fillId="0" borderId="0" xfId="4" applyFont="1" applyFill="1" applyProtection="1"/>
    <xf numFmtId="175" fontId="12" fillId="0" borderId="0" xfId="4" applyNumberFormat="1" applyFont="1" applyAlignment="1" applyProtection="1">
      <alignment horizontal="right"/>
    </xf>
    <xf numFmtId="175" fontId="12" fillId="0" borderId="0" xfId="4" applyNumberFormat="1" applyFont="1" applyProtection="1"/>
    <xf numFmtId="0" fontId="12" fillId="0" borderId="0" xfId="4" applyFont="1" applyFill="1" applyBorder="1" applyAlignment="1">
      <alignment horizontal="center"/>
    </xf>
    <xf numFmtId="165" fontId="12" fillId="0" borderId="0" xfId="8" applyNumberFormat="1" applyFont="1" applyFill="1" applyBorder="1"/>
    <xf numFmtId="165" fontId="12" fillId="0" borderId="0" xfId="4" applyNumberFormat="1" applyFont="1" applyFill="1" applyBorder="1"/>
    <xf numFmtId="167" fontId="12" fillId="0" borderId="0" xfId="8" applyNumberFormat="1" applyFont="1" applyFill="1" applyBorder="1"/>
    <xf numFmtId="168" fontId="12" fillId="0" borderId="0" xfId="8" applyNumberFormat="1" applyFont="1" applyFill="1" applyBorder="1"/>
    <xf numFmtId="2" fontId="12" fillId="0" borderId="0" xfId="4" applyNumberFormat="1" applyFont="1" applyFill="1" applyBorder="1" applyAlignment="1">
      <alignment horizontal="center"/>
    </xf>
    <xf numFmtId="168" fontId="12" fillId="0" borderId="0" xfId="8" applyNumberFormat="1" applyFont="1" applyFill="1" applyBorder="1" applyAlignment="1">
      <alignment horizontal="center"/>
    </xf>
    <xf numFmtId="165" fontId="12" fillId="0" borderId="0" xfId="8" applyNumberFormat="1" applyFont="1" applyFill="1" applyBorder="1" applyAlignment="1">
      <alignment horizontal="center"/>
    </xf>
    <xf numFmtId="168" fontId="12" fillId="0" borderId="0" xfId="4" applyNumberFormat="1" applyFont="1" applyFill="1" applyBorder="1"/>
    <xf numFmtId="164" fontId="12" fillId="0" borderId="0" xfId="5" applyNumberFormat="1" applyFont="1" applyFill="1" applyBorder="1" applyAlignment="1">
      <alignment horizontal="center"/>
    </xf>
    <xf numFmtId="164" fontId="12" fillId="0" borderId="0" xfId="5" applyNumberFormat="1" applyFont="1" applyFill="1" applyBorder="1" applyAlignment="1">
      <alignment horizontal="right"/>
    </xf>
    <xf numFmtId="43" fontId="12" fillId="0" borderId="0" xfId="5" applyNumberFormat="1" applyFont="1" applyFill="1" applyBorder="1" applyAlignment="1">
      <alignment horizontal="center"/>
    </xf>
    <xf numFmtId="164" fontId="12" fillId="0" borderId="0" xfId="4" applyNumberFormat="1" applyFont="1" applyFill="1" applyBorder="1"/>
    <xf numFmtId="0" fontId="12" fillId="0" borderId="0" xfId="4" applyFont="1" applyFill="1" applyBorder="1" applyAlignment="1">
      <alignment horizontal="left"/>
    </xf>
    <xf numFmtId="164" fontId="12" fillId="0" borderId="0" xfId="5" applyNumberFormat="1" applyFont="1" applyFill="1" applyBorder="1" applyAlignment="1">
      <alignment horizontal="left"/>
    </xf>
    <xf numFmtId="164" fontId="12" fillId="0" borderId="0" xfId="5" applyNumberFormat="1" applyFont="1" applyFill="1" applyBorder="1"/>
    <xf numFmtId="167" fontId="12" fillId="0" borderId="0" xfId="4" applyNumberFormat="1" applyFont="1" applyFill="1" applyBorder="1"/>
    <xf numFmtId="0" fontId="12" fillId="0" borderId="6" xfId="4" applyFont="1" applyFill="1" applyBorder="1"/>
    <xf numFmtId="0" fontId="12" fillId="0" borderId="7" xfId="4" applyFont="1" applyFill="1" applyBorder="1"/>
    <xf numFmtId="0" fontId="12" fillId="0" borderId="8" xfId="4" applyFont="1" applyFill="1" applyBorder="1"/>
    <xf numFmtId="0" fontId="12" fillId="0" borderId="9" xfId="4" applyFont="1" applyFill="1" applyBorder="1"/>
    <xf numFmtId="170" fontId="12" fillId="0" borderId="0" xfId="5" applyNumberFormat="1" applyFont="1" applyFill="1" applyBorder="1" applyAlignment="1">
      <alignment horizontal="right"/>
    </xf>
    <xf numFmtId="0" fontId="12" fillId="0" borderId="10" xfId="4" applyFont="1" applyFill="1" applyBorder="1"/>
    <xf numFmtId="0" fontId="12" fillId="0" borderId="9" xfId="4" applyFont="1" applyFill="1" applyBorder="1" applyAlignment="1">
      <alignment horizontal="left"/>
    </xf>
    <xf numFmtId="164" fontId="12" fillId="0" borderId="0" xfId="4" applyNumberFormat="1" applyFont="1" applyFill="1" applyBorder="1" applyAlignment="1">
      <alignment horizontal="right"/>
    </xf>
    <xf numFmtId="0" fontId="12" fillId="0" borderId="11" xfId="4" applyFont="1" applyFill="1" applyBorder="1" applyAlignment="1">
      <alignment horizontal="left"/>
    </xf>
    <xf numFmtId="164" fontId="12" fillId="0" borderId="3" xfId="4" applyNumberFormat="1" applyFont="1" applyFill="1" applyBorder="1" applyAlignment="1">
      <alignment horizontal="right"/>
    </xf>
    <xf numFmtId="0" fontId="12" fillId="0" borderId="12" xfId="4" applyFont="1" applyFill="1" applyBorder="1"/>
    <xf numFmtId="0" fontId="12" fillId="0" borderId="0" xfId="4" applyFont="1" applyFill="1" applyAlignment="1"/>
    <xf numFmtId="0" fontId="13" fillId="0" borderId="0" xfId="4" applyFont="1" applyFill="1" applyBorder="1" applyAlignment="1"/>
    <xf numFmtId="171" fontId="12" fillId="0" borderId="0" xfId="4" applyNumberFormat="1" applyFont="1" applyFill="1" applyBorder="1" applyAlignment="1"/>
    <xf numFmtId="0" fontId="13" fillId="0" borderId="0" xfId="4" applyFont="1" applyFill="1" applyBorder="1" applyAlignment="1">
      <alignment vertical="center"/>
    </xf>
    <xf numFmtId="0" fontId="13" fillId="0" borderId="2" xfId="4" applyFont="1" applyFill="1" applyBorder="1" applyAlignment="1"/>
    <xf numFmtId="6" fontId="13" fillId="0" borderId="0" xfId="4" applyNumberFormat="1" applyFont="1" applyFill="1" applyBorder="1" applyAlignment="1"/>
    <xf numFmtId="0" fontId="12" fillId="0" borderId="0" xfId="4" applyFont="1" applyFill="1" applyBorder="1" applyAlignment="1"/>
    <xf numFmtId="6" fontId="12" fillId="0" borderId="0" xfId="4" applyNumberFormat="1" applyFont="1" applyFill="1" applyBorder="1" applyAlignment="1"/>
    <xf numFmtId="171" fontId="13" fillId="0" borderId="0" xfId="4" applyNumberFormat="1" applyFont="1" applyFill="1" applyBorder="1" applyAlignment="1"/>
    <xf numFmtId="175" fontId="12" fillId="0" borderId="0" xfId="4" applyNumberFormat="1" applyFont="1" applyFill="1" applyAlignment="1" applyProtection="1">
      <alignment horizontal="right"/>
    </xf>
    <xf numFmtId="0" fontId="12" fillId="0" borderId="3" xfId="4" applyFont="1" applyFill="1" applyBorder="1" applyAlignment="1">
      <alignment horizontal="left"/>
    </xf>
    <xf numFmtId="0" fontId="12" fillId="0" borderId="6" xfId="4" applyFont="1" applyFill="1" applyBorder="1" applyAlignment="1">
      <alignment horizontal="center"/>
    </xf>
    <xf numFmtId="0" fontId="12" fillId="0" borderId="9" xfId="4" applyFont="1" applyFill="1" applyBorder="1" applyAlignment="1">
      <alignment horizontal="center"/>
    </xf>
    <xf numFmtId="0" fontId="12" fillId="0" borderId="10" xfId="4" applyFont="1" applyFill="1" applyBorder="1" applyAlignment="1">
      <alignment horizontal="center"/>
    </xf>
    <xf numFmtId="0" fontId="12" fillId="0" borderId="11" xfId="4" applyFont="1" applyFill="1" applyBorder="1" applyAlignment="1">
      <alignment horizontal="center"/>
    </xf>
    <xf numFmtId="2" fontId="12" fillId="0" borderId="3" xfId="4" applyNumberFormat="1" applyFont="1" applyFill="1" applyBorder="1" applyAlignment="1">
      <alignment horizontal="center"/>
    </xf>
    <xf numFmtId="0" fontId="12" fillId="0" borderId="12" xfId="4" applyFont="1" applyFill="1" applyBorder="1" applyAlignment="1">
      <alignment horizontal="center"/>
    </xf>
    <xf numFmtId="0" fontId="16" fillId="0" borderId="6" xfId="4" applyFont="1" applyFill="1" applyBorder="1" applyAlignment="1">
      <alignment horizontal="left"/>
    </xf>
    <xf numFmtId="165" fontId="12" fillId="0" borderId="3" xfId="8" applyNumberFormat="1" applyFont="1" applyFill="1" applyBorder="1"/>
    <xf numFmtId="0" fontId="12" fillId="0" borderId="3" xfId="4" applyFont="1" applyFill="1" applyBorder="1"/>
    <xf numFmtId="0" fontId="16" fillId="0" borderId="6" xfId="4" applyFont="1" applyFill="1" applyBorder="1"/>
    <xf numFmtId="0" fontId="12" fillId="0" borderId="13" xfId="4" applyFont="1" applyFill="1" applyBorder="1"/>
    <xf numFmtId="0" fontId="12" fillId="0" borderId="11" xfId="4" applyFont="1" applyFill="1" applyBorder="1"/>
    <xf numFmtId="164" fontId="12" fillId="0" borderId="8" xfId="5" applyNumberFormat="1" applyFont="1" applyFill="1" applyBorder="1" applyAlignment="1">
      <alignment horizontal="center"/>
    </xf>
    <xf numFmtId="43" fontId="12" fillId="0" borderId="8" xfId="5" applyNumberFormat="1" applyFont="1" applyFill="1" applyBorder="1" applyAlignment="1">
      <alignment horizontal="center"/>
    </xf>
    <xf numFmtId="0" fontId="9" fillId="0" borderId="6" xfId="4" applyFont="1" applyFill="1" applyBorder="1" applyAlignment="1">
      <alignment horizontal="center"/>
    </xf>
    <xf numFmtId="167" fontId="9" fillId="0" borderId="7" xfId="4" applyNumberFormat="1" applyFont="1" applyFill="1" applyBorder="1" applyAlignment="1">
      <alignment horizontal="center"/>
    </xf>
    <xf numFmtId="0" fontId="9" fillId="0" borderId="8" xfId="4" applyFont="1" applyFill="1" applyBorder="1" applyAlignment="1">
      <alignment horizontal="center"/>
    </xf>
    <xf numFmtId="168" fontId="12" fillId="0" borderId="10" xfId="8" applyNumberFormat="1" applyFont="1" applyFill="1" applyBorder="1"/>
    <xf numFmtId="167" fontId="12" fillId="0" borderId="3" xfId="8" applyNumberFormat="1" applyFont="1" applyFill="1" applyBorder="1"/>
    <xf numFmtId="168" fontId="12" fillId="0" borderId="12" xfId="8" applyNumberFormat="1" applyFont="1" applyFill="1" applyBorder="1"/>
    <xf numFmtId="0" fontId="12" fillId="0" borderId="8" xfId="4" applyFont="1" applyFill="1" applyBorder="1" applyAlignment="1">
      <alignment horizontal="center"/>
    </xf>
    <xf numFmtId="0" fontId="12" fillId="0" borderId="10" xfId="4" applyFont="1" applyFill="1" applyBorder="1" applyAlignment="1">
      <alignment horizontal="right"/>
    </xf>
    <xf numFmtId="165" fontId="12" fillId="0" borderId="10" xfId="8" applyNumberFormat="1" applyFont="1" applyFill="1" applyBorder="1" applyAlignment="1">
      <alignment horizontal="right"/>
    </xf>
    <xf numFmtId="169" fontId="12" fillId="0" borderId="9" xfId="4" applyNumberFormat="1" applyFont="1" applyFill="1" applyBorder="1" applyAlignment="1">
      <alignment horizontal="left"/>
    </xf>
    <xf numFmtId="169" fontId="12" fillId="0" borderId="9" xfId="4" applyNumberFormat="1" applyFont="1" applyFill="1" applyBorder="1" applyAlignment="1">
      <alignment horizontal="center"/>
    </xf>
    <xf numFmtId="43" fontId="12" fillId="0" borderId="9" xfId="4" applyNumberFormat="1" applyFont="1" applyFill="1" applyBorder="1" applyAlignment="1">
      <alignment horizontal="right"/>
    </xf>
    <xf numFmtId="43" fontId="12" fillId="0" borderId="9" xfId="4" applyNumberFormat="1" applyFont="1" applyFill="1" applyBorder="1"/>
    <xf numFmtId="164" fontId="12" fillId="0" borderId="11" xfId="4" applyNumberFormat="1" applyFont="1" applyFill="1" applyBorder="1"/>
    <xf numFmtId="164" fontId="12" fillId="0" borderId="12" xfId="4" applyNumberFormat="1" applyFont="1" applyFill="1" applyBorder="1"/>
    <xf numFmtId="168" fontId="12" fillId="0" borderId="10" xfId="4" applyNumberFormat="1" applyFont="1" applyFill="1" applyBorder="1"/>
    <xf numFmtId="167" fontId="12" fillId="0" borderId="10" xfId="8" applyNumberFormat="1" applyFont="1" applyFill="1" applyBorder="1"/>
    <xf numFmtId="164" fontId="12" fillId="0" borderId="9" xfId="5" applyNumberFormat="1" applyFont="1" applyFill="1" applyBorder="1" applyAlignment="1">
      <alignment horizontal="center"/>
    </xf>
    <xf numFmtId="164" fontId="12" fillId="0" borderId="11" xfId="5" applyNumberFormat="1" applyFont="1" applyFill="1" applyBorder="1" applyAlignment="1">
      <alignment horizontal="left"/>
    </xf>
    <xf numFmtId="164" fontId="12" fillId="0" borderId="12" xfId="5" applyNumberFormat="1" applyFont="1" applyFill="1" applyBorder="1" applyAlignment="1">
      <alignment horizontal="left"/>
    </xf>
    <xf numFmtId="164" fontId="12" fillId="0" borderId="12" xfId="5" applyNumberFormat="1" applyFont="1" applyFill="1" applyBorder="1"/>
    <xf numFmtId="0" fontId="13" fillId="0" borderId="6" xfId="4" applyFont="1" applyFill="1" applyBorder="1"/>
    <xf numFmtId="43" fontId="12" fillId="0" borderId="12" xfId="5" applyNumberFormat="1" applyFont="1" applyFill="1" applyBorder="1" applyAlignment="1">
      <alignment horizontal="center"/>
    </xf>
    <xf numFmtId="0" fontId="13" fillId="0" borderId="7" xfId="4" applyFont="1" applyFill="1" applyBorder="1"/>
    <xf numFmtId="0" fontId="12" fillId="0" borderId="15" xfId="4" applyFont="1" applyFill="1" applyBorder="1"/>
    <xf numFmtId="164" fontId="12" fillId="0" borderId="16" xfId="4" applyNumberFormat="1" applyFont="1" applyFill="1" applyBorder="1"/>
    <xf numFmtId="0" fontId="12" fillId="0" borderId="17" xfId="4" applyFont="1" applyFill="1" applyBorder="1" applyAlignment="1">
      <alignment horizontal="center"/>
    </xf>
    <xf numFmtId="0" fontId="13" fillId="0" borderId="18" xfId="4" applyFont="1" applyFill="1" applyBorder="1"/>
    <xf numFmtId="164" fontId="13" fillId="0" borderId="18" xfId="4" applyNumberFormat="1" applyFont="1" applyFill="1" applyBorder="1"/>
    <xf numFmtId="0" fontId="13" fillId="0" borderId="19" xfId="4" applyFont="1" applyFill="1" applyBorder="1" applyAlignment="1">
      <alignment horizontal="center"/>
    </xf>
    <xf numFmtId="164" fontId="13" fillId="0" borderId="19" xfId="4" applyNumberFormat="1" applyFont="1" applyFill="1" applyBorder="1"/>
    <xf numFmtId="0" fontId="12" fillId="0" borderId="6" xfId="4" applyFont="1" applyFill="1" applyBorder="1" applyAlignment="1"/>
    <xf numFmtId="0" fontId="12" fillId="0" borderId="9" xfId="4" applyFont="1" applyFill="1" applyBorder="1" applyAlignment="1"/>
    <xf numFmtId="0" fontId="12" fillId="0" borderId="11" xfId="4" applyFont="1" applyFill="1" applyBorder="1" applyAlignment="1"/>
    <xf numFmtId="171" fontId="12" fillId="0" borderId="8" xfId="4" applyNumberFormat="1" applyFont="1" applyFill="1" applyBorder="1" applyAlignment="1"/>
    <xf numFmtId="171" fontId="12" fillId="0" borderId="10" xfId="4" applyNumberFormat="1" applyFont="1" applyFill="1" applyBorder="1" applyAlignment="1"/>
    <xf numFmtId="171" fontId="12" fillId="0" borderId="10" xfId="4" applyNumberFormat="1" applyFont="1" applyFill="1" applyBorder="1" applyAlignment="1">
      <alignment vertical="center"/>
    </xf>
    <xf numFmtId="0" fontId="13" fillId="0" borderId="3" xfId="4" applyFont="1" applyFill="1" applyBorder="1" applyAlignment="1"/>
    <xf numFmtId="171" fontId="12" fillId="0" borderId="12" xfId="4" applyNumberFormat="1" applyFont="1" applyFill="1" applyBorder="1" applyAlignment="1"/>
    <xf numFmtId="0" fontId="0" fillId="0" borderId="0" xfId="0" applyFill="1"/>
    <xf numFmtId="0" fontId="18" fillId="0" borderId="0" xfId="0" applyFont="1" applyFill="1"/>
    <xf numFmtId="0" fontId="19" fillId="0" borderId="0" xfId="0" applyFont="1" applyFill="1"/>
    <xf numFmtId="0" fontId="12" fillId="0" borderId="14" xfId="4" applyFont="1" applyFill="1" applyBorder="1" applyAlignment="1" applyProtection="1">
      <alignment horizontal="center"/>
      <protection locked="0"/>
    </xf>
    <xf numFmtId="0" fontId="12" fillId="0" borderId="9" xfId="4" applyFont="1" applyFill="1" applyBorder="1" applyAlignment="1" applyProtection="1">
      <alignment horizontal="center"/>
      <protection locked="0"/>
    </xf>
    <xf numFmtId="2" fontId="12" fillId="0" borderId="8" xfId="4" applyNumberFormat="1" applyFont="1" applyFill="1" applyBorder="1" applyAlignment="1" applyProtection="1">
      <alignment horizontal="center"/>
      <protection locked="0"/>
    </xf>
    <xf numFmtId="0" fontId="12" fillId="0" borderId="0" xfId="4" applyFont="1" applyFill="1" applyBorder="1" applyAlignment="1" applyProtection="1">
      <alignment horizontal="center"/>
      <protection locked="0"/>
    </xf>
    <xf numFmtId="168" fontId="12" fillId="0" borderId="12" xfId="8" applyNumberFormat="1" applyFont="1" applyFill="1" applyBorder="1" applyAlignment="1" applyProtection="1">
      <alignment horizontal="center"/>
      <protection locked="0"/>
    </xf>
    <xf numFmtId="0" fontId="12" fillId="0" borderId="3" xfId="4" applyFont="1" applyFill="1" applyBorder="1" applyAlignment="1" applyProtection="1">
      <alignment horizontal="center"/>
      <protection locked="0"/>
    </xf>
    <xf numFmtId="164" fontId="12" fillId="0" borderId="12" xfId="5" applyNumberFormat="1" applyFont="1" applyFill="1" applyBorder="1" applyAlignment="1" applyProtection="1">
      <alignment horizontal="center"/>
      <protection locked="0"/>
    </xf>
    <xf numFmtId="164" fontId="12" fillId="0" borderId="9" xfId="5" applyNumberFormat="1" applyFont="1" applyFill="1" applyBorder="1" applyAlignment="1" applyProtection="1">
      <alignment horizontal="right"/>
      <protection locked="0"/>
    </xf>
    <xf numFmtId="0" fontId="12" fillId="0" borderId="11" xfId="4" applyFont="1" applyFill="1" applyBorder="1" applyAlignment="1" applyProtection="1">
      <alignment horizontal="center"/>
      <protection locked="0"/>
    </xf>
    <xf numFmtId="0" fontId="12" fillId="0" borderId="10" xfId="4" applyFont="1" applyFill="1" applyBorder="1" applyAlignment="1" applyProtection="1">
      <alignment horizontal="center"/>
      <protection locked="0"/>
    </xf>
    <xf numFmtId="164" fontId="12" fillId="0" borderId="10" xfId="5" applyNumberFormat="1" applyFont="1" applyFill="1" applyBorder="1" applyAlignment="1" applyProtection="1">
      <alignment horizontal="center"/>
      <protection locked="0"/>
    </xf>
    <xf numFmtId="164" fontId="12" fillId="0" borderId="0" xfId="5" applyNumberFormat="1" applyFont="1" applyFill="1" applyBorder="1" applyAlignment="1" applyProtection="1">
      <alignment horizontal="right"/>
      <protection locked="0"/>
    </xf>
    <xf numFmtId="0" fontId="13" fillId="0" borderId="7" xfId="4" applyFont="1" applyFill="1" applyBorder="1" applyAlignment="1" applyProtection="1">
      <protection locked="0"/>
    </xf>
    <xf numFmtId="0" fontId="13" fillId="0" borderId="0" xfId="4" applyFont="1" applyFill="1" applyBorder="1" applyAlignment="1" applyProtection="1">
      <protection locked="0"/>
    </xf>
    <xf numFmtId="0" fontId="13" fillId="0" borderId="0" xfId="4" applyFont="1" applyFill="1" applyBorder="1" applyAlignment="1" applyProtection="1">
      <alignment vertical="center"/>
      <protection locked="0"/>
    </xf>
    <xf numFmtId="0" fontId="16" fillId="4" borderId="1" xfId="4" applyFont="1" applyFill="1" applyBorder="1" applyAlignment="1" applyProtection="1">
      <alignment vertical="top"/>
    </xf>
    <xf numFmtId="174" fontId="16" fillId="4" borderId="1" xfId="4" applyNumberFormat="1" applyFont="1" applyFill="1" applyBorder="1" applyAlignment="1" applyProtection="1">
      <alignment horizontal="center" vertical="top"/>
    </xf>
    <xf numFmtId="175" fontId="16" fillId="4" borderId="1" xfId="4" applyNumberFormat="1" applyFont="1" applyFill="1" applyBorder="1" applyAlignment="1" applyProtection="1">
      <alignment horizontal="center" vertical="top"/>
    </xf>
    <xf numFmtId="0" fontId="17" fillId="0" borderId="0" xfId="4" applyFont="1" applyProtection="1"/>
    <xf numFmtId="0" fontId="17" fillId="0" borderId="0" xfId="4" applyFont="1" applyFill="1" applyProtection="1"/>
    <xf numFmtId="0" fontId="20" fillId="0" borderId="0" xfId="0" applyFont="1" applyFill="1"/>
    <xf numFmtId="0" fontId="4" fillId="0" borderId="0" xfId="4" applyFont="1" applyFill="1"/>
    <xf numFmtId="165" fontId="9" fillId="3" borderId="20" xfId="8" applyNumberFormat="1" applyFont="1" applyFill="1" applyBorder="1" applyAlignment="1">
      <alignment horizontal="right"/>
    </xf>
    <xf numFmtId="2" fontId="0" fillId="0" borderId="0" xfId="0" applyNumberFormat="1" applyFill="1" applyAlignment="1" applyProtection="1">
      <alignment horizontal="center"/>
    </xf>
    <xf numFmtId="0" fontId="0" fillId="6" borderId="6" xfId="0" applyFont="1" applyFill="1" applyBorder="1" applyAlignment="1">
      <alignment horizontal="center" vertical="center"/>
    </xf>
    <xf numFmtId="10" fontId="0" fillId="6" borderId="21" xfId="0" applyNumberFormat="1" applyFont="1" applyFill="1" applyBorder="1" applyAlignment="1">
      <alignment horizontal="center" vertical="center"/>
    </xf>
    <xf numFmtId="0" fontId="0" fillId="6" borderId="22" xfId="0" applyFont="1" applyFill="1" applyBorder="1" applyAlignment="1">
      <alignment horizontal="center" vertical="center"/>
    </xf>
    <xf numFmtId="8" fontId="0" fillId="6" borderId="23" xfId="0" applyNumberFormat="1" applyFont="1" applyFill="1" applyBorder="1" applyAlignment="1">
      <alignment horizontal="center" vertical="center"/>
    </xf>
    <xf numFmtId="44" fontId="0" fillId="0" borderId="0" xfId="3" applyFont="1" applyFill="1"/>
    <xf numFmtId="44" fontId="0" fillId="5" borderId="7" xfId="3" applyFont="1" applyFill="1" applyBorder="1"/>
    <xf numFmtId="44" fontId="0" fillId="5" borderId="8" xfId="3" applyFont="1" applyFill="1" applyBorder="1"/>
    <xf numFmtId="44" fontId="0" fillId="5" borderId="0" xfId="3" applyFont="1" applyFill="1" applyBorder="1"/>
    <xf numFmtId="44" fontId="0" fillId="5" borderId="10" xfId="3" applyFont="1" applyFill="1" applyBorder="1"/>
    <xf numFmtId="44" fontId="0" fillId="5" borderId="3" xfId="3" applyFont="1" applyFill="1" applyBorder="1"/>
    <xf numFmtId="44" fontId="0" fillId="5" borderId="12" xfId="3" applyFont="1" applyFill="1" applyBorder="1"/>
    <xf numFmtId="44" fontId="19" fillId="0" borderId="0" xfId="3" applyFont="1" applyFill="1"/>
    <xf numFmtId="44" fontId="21" fillId="5" borderId="6" xfId="3" applyFont="1" applyFill="1" applyBorder="1"/>
    <xf numFmtId="44" fontId="0" fillId="5" borderId="9" xfId="3" applyFont="1" applyFill="1" applyBorder="1"/>
    <xf numFmtId="44" fontId="0" fillId="5" borderId="11" xfId="3" applyFont="1" applyFill="1" applyBorder="1"/>
    <xf numFmtId="44" fontId="0" fillId="0" borderId="0" xfId="3" applyFont="1" applyFill="1" applyProtection="1"/>
    <xf numFmtId="0" fontId="25" fillId="8" borderId="0" xfId="4" applyFont="1" applyFill="1" applyAlignment="1"/>
    <xf numFmtId="0" fontId="23" fillId="8" borderId="0" xfId="4" applyFont="1" applyFill="1"/>
    <xf numFmtId="43" fontId="23" fillId="8" borderId="0" xfId="5" applyFont="1" applyFill="1"/>
    <xf numFmtId="0" fontId="26" fillId="0" borderId="0" xfId="4" applyFont="1" applyFill="1" applyBorder="1"/>
    <xf numFmtId="0" fontId="27" fillId="0" borderId="0" xfId="4" applyNumberFormat="1" applyFont="1" applyFill="1" applyBorder="1" applyAlignment="1"/>
    <xf numFmtId="44" fontId="22" fillId="8" borderId="3" xfId="8" applyFont="1" applyFill="1" applyBorder="1" applyAlignment="1">
      <alignment horizontal="right"/>
    </xf>
    <xf numFmtId="0" fontId="22" fillId="8" borderId="3" xfId="1" applyFont="1" applyFill="1" applyBorder="1" applyAlignment="1">
      <alignment horizontal="right"/>
    </xf>
    <xf numFmtId="0" fontId="13" fillId="8" borderId="0" xfId="4" applyFont="1" applyFill="1" applyBorder="1" applyAlignment="1"/>
    <xf numFmtId="0" fontId="28" fillId="0" borderId="0" xfId="0" applyFont="1"/>
    <xf numFmtId="0" fontId="29" fillId="0" borderId="0" xfId="2" applyFont="1" applyFill="1" applyBorder="1" applyAlignment="1">
      <alignment vertical="top"/>
    </xf>
    <xf numFmtId="0" fontId="24" fillId="7" borderId="5" xfId="9" applyBorder="1" applyAlignment="1">
      <alignment horizontal="right"/>
    </xf>
    <xf numFmtId="0" fontId="24" fillId="7" borderId="0" xfId="9"/>
    <xf numFmtId="0" fontId="24" fillId="7" borderId="4" xfId="9" applyBorder="1" applyAlignment="1">
      <alignment horizontal="right"/>
    </xf>
    <xf numFmtId="0" fontId="24" fillId="0" borderId="0" xfId="0" applyFont="1"/>
    <xf numFmtId="0" fontId="30" fillId="0" borderId="0" xfId="10" applyFont="1" applyFill="1" applyBorder="1" applyAlignment="1">
      <alignment horizontal="left" vertical="center" wrapText="1"/>
    </xf>
    <xf numFmtId="0" fontId="0" fillId="9" borderId="0" xfId="0" applyFill="1"/>
    <xf numFmtId="0" fontId="24" fillId="9" borderId="0" xfId="9" applyFill="1"/>
    <xf numFmtId="0" fontId="12" fillId="9" borderId="0" xfId="4" applyFont="1" applyFill="1"/>
    <xf numFmtId="2" fontId="12" fillId="0" borderId="0" xfId="4" applyNumberFormat="1" applyFont="1" applyProtection="1"/>
    <xf numFmtId="175" fontId="12" fillId="0" borderId="0" xfId="4" applyNumberFormat="1" applyFont="1" applyBorder="1" applyAlignment="1" applyProtection="1">
      <alignment horizontal="right"/>
    </xf>
    <xf numFmtId="164" fontId="12" fillId="0" borderId="0" xfId="5" applyNumberFormat="1" applyFont="1" applyFill="1" applyBorder="1" applyProtection="1"/>
    <xf numFmtId="2" fontId="12" fillId="0" borderId="0" xfId="4" applyNumberFormat="1" applyFont="1" applyBorder="1" applyProtection="1"/>
    <xf numFmtId="0" fontId="31" fillId="10" borderId="0" xfId="4" applyFont="1" applyFill="1" applyProtection="1"/>
    <xf numFmtId="0" fontId="32" fillId="10" borderId="0" xfId="4" applyFont="1" applyFill="1" applyProtection="1"/>
    <xf numFmtId="0" fontId="24" fillId="10" borderId="0" xfId="0" applyFont="1" applyFill="1"/>
    <xf numFmtId="0" fontId="0" fillId="0" borderId="0" xfId="0" applyNumberFormat="1"/>
    <xf numFmtId="14" fontId="0" fillId="0" borderId="0" xfId="0" applyNumberFormat="1"/>
    <xf numFmtId="0" fontId="12" fillId="0" borderId="0" xfId="4" applyFont="1" applyAlignment="1" applyProtection="1">
      <alignment horizontal="left"/>
    </xf>
    <xf numFmtId="0" fontId="32" fillId="11" borderId="0" xfId="4" applyFont="1" applyFill="1" applyProtection="1"/>
    <xf numFmtId="0" fontId="32" fillId="6" borderId="0" xfId="4" applyFont="1" applyFill="1" applyProtection="1"/>
    <xf numFmtId="0" fontId="13" fillId="0" borderId="24" xfId="4" applyFont="1" applyFill="1" applyBorder="1" applyAlignment="1" applyProtection="1">
      <alignment vertical="top"/>
    </xf>
    <xf numFmtId="0" fontId="13" fillId="0" borderId="25" xfId="4" applyFont="1" applyFill="1" applyBorder="1" applyAlignment="1" applyProtection="1">
      <alignment vertical="top"/>
    </xf>
    <xf numFmtId="174" fontId="13" fillId="0" borderId="25" xfId="4" applyNumberFormat="1" applyFont="1" applyFill="1" applyBorder="1" applyAlignment="1" applyProtection="1">
      <alignment horizontal="center" vertical="top"/>
    </xf>
    <xf numFmtId="175" fontId="13" fillId="0" borderId="25" xfId="4" applyNumberFormat="1" applyFont="1" applyFill="1" applyBorder="1" applyAlignment="1" applyProtection="1">
      <alignment horizontal="center" vertical="top"/>
    </xf>
    <xf numFmtId="0" fontId="13" fillId="0" borderId="26" xfId="4" applyFont="1" applyFill="1" applyBorder="1" applyAlignment="1" applyProtection="1">
      <alignment vertical="top"/>
    </xf>
    <xf numFmtId="176" fontId="12" fillId="0" borderId="0" xfId="4" applyNumberFormat="1" applyFont="1" applyProtection="1"/>
    <xf numFmtId="9" fontId="12" fillId="0" borderId="0" xfId="11" applyFont="1" applyFill="1"/>
    <xf numFmtId="0" fontId="4" fillId="12" borderId="0" xfId="4" applyFont="1" applyFill="1" applyAlignment="1" applyProtection="1">
      <alignment horizontal="center"/>
    </xf>
    <xf numFmtId="0" fontId="4" fillId="12" borderId="0" xfId="4" applyFont="1" applyFill="1" applyProtection="1"/>
    <xf numFmtId="0" fontId="4" fillId="13" borderId="0" xfId="4" applyFont="1" applyFill="1" applyAlignment="1" applyProtection="1">
      <alignment horizontal="center"/>
    </xf>
    <xf numFmtId="0" fontId="4" fillId="13" borderId="0" xfId="4" applyFont="1" applyFill="1" applyProtection="1"/>
    <xf numFmtId="0" fontId="31" fillId="8" borderId="0" xfId="4" applyFont="1" applyFill="1" applyProtection="1"/>
    <xf numFmtId="0" fontId="32" fillId="8" borderId="0" xfId="4" applyFont="1" applyFill="1" applyProtection="1"/>
    <xf numFmtId="0" fontId="24" fillId="8" borderId="0" xfId="0" applyFont="1" applyFill="1"/>
  </cellXfs>
  <cellStyles count="12">
    <cellStyle name="Accent6" xfId="9" builtinId="49"/>
    <cellStyle name="ColLevel_1" xfId="1" builtinId="2" iLevel="0"/>
    <cellStyle name="ColLevel_2" xfId="2" builtinId="2" iLevel="1"/>
    <cellStyle name="Comma 2" xfId="5"/>
    <cellStyle name="Currency" xfId="3" builtinId="4"/>
    <cellStyle name="Currency 2" xfId="8"/>
    <cellStyle name="MyBlue" xfId="7"/>
    <cellStyle name="Normal" xfId="0" builtinId="0"/>
    <cellStyle name="Normal 2" xfId="4"/>
    <cellStyle name="Normal_Sheet1_1" xfId="10"/>
    <cellStyle name="Percent" xfId="11" builtinId="5"/>
    <cellStyle name="Percent 2" xfId="6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Business21Publishing\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____Excel%20Class%20Files\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  <pageSetUpPr autoPageBreaks="0"/>
  </sheetPr>
  <dimension ref="A1:AE714"/>
  <sheetViews>
    <sheetView tabSelected="1" zoomScaleNormal="100" zoomScaleSheetLayoutView="100" workbookViewId="0">
      <selection activeCell="G2" sqref="G2"/>
    </sheetView>
  </sheetViews>
  <sheetFormatPr defaultColWidth="19.88671875" defaultRowHeight="14.4" x14ac:dyDescent="0.3"/>
  <cols>
    <col min="1" max="1" width="10.88671875" style="23" customWidth="1"/>
    <col min="2" max="2" width="12.109375" style="23" customWidth="1"/>
    <col min="3" max="3" width="14.33203125" style="23" bestFit="1" customWidth="1"/>
    <col min="4" max="5" width="13.33203125" style="23" customWidth="1"/>
    <col min="6" max="6" width="12.88671875" style="24" customWidth="1"/>
    <col min="7" max="7" width="4.77734375" style="23" customWidth="1"/>
    <col min="8" max="8" width="10.44140625" style="23" customWidth="1"/>
    <col min="9" max="9" width="12.5546875" style="23" bestFit="1" customWidth="1"/>
    <col min="10" max="10" width="13.33203125" style="23" bestFit="1" customWidth="1"/>
    <col min="11" max="11" width="15.109375" style="23" customWidth="1"/>
    <col min="12" max="12" width="11.33203125" style="23" bestFit="1" customWidth="1"/>
    <col min="13" max="13" width="13.6640625" style="23" customWidth="1"/>
    <col min="14" max="14" width="4.44140625" style="23" bestFit="1" customWidth="1"/>
    <col min="15" max="15" width="6.33203125" style="23" customWidth="1"/>
    <col min="16" max="16" width="5.109375" style="23" bestFit="1" customWidth="1"/>
    <col min="17" max="21" width="4.44140625" style="23" bestFit="1" customWidth="1"/>
    <col min="22" max="25" width="19.88671875" style="23"/>
    <col min="26" max="26" width="8.44140625" style="23" bestFit="1" customWidth="1"/>
    <col min="27" max="27" width="8.88671875" style="23" bestFit="1" customWidth="1"/>
    <col min="28" max="28" width="4.5546875" style="23" bestFit="1" customWidth="1"/>
    <col min="29" max="16384" width="19.88671875" style="23"/>
  </cols>
  <sheetData>
    <row r="1" spans="1:31" s="204" customFormat="1" ht="28.8" x14ac:dyDescent="0.55000000000000004">
      <c r="A1" s="203" t="s">
        <v>1944</v>
      </c>
      <c r="J1" s="205"/>
      <c r="K1" s="204" t="s">
        <v>1946</v>
      </c>
      <c r="L1" s="205"/>
      <c r="N1" s="205"/>
      <c r="O1" s="205"/>
      <c r="P1" s="205"/>
      <c r="Q1" s="205"/>
      <c r="R1" s="205"/>
      <c r="S1" s="205"/>
      <c r="T1" s="205"/>
      <c r="U1" s="205"/>
      <c r="V1" s="205"/>
      <c r="W1" s="205"/>
      <c r="X1" s="205"/>
      <c r="Y1" s="205"/>
      <c r="Z1" s="205"/>
      <c r="AA1" s="205"/>
      <c r="AB1" s="205"/>
      <c r="AC1" s="205"/>
      <c r="AD1" s="205"/>
      <c r="AE1" s="205"/>
    </row>
    <row r="2" spans="1:31" s="202" customFormat="1" ht="13.8" x14ac:dyDescent="0.3">
      <c r="A2" s="201">
        <v>1</v>
      </c>
      <c r="B2" s="202" t="s">
        <v>1939</v>
      </c>
      <c r="G2" s="202" t="s">
        <v>1960</v>
      </c>
      <c r="N2" s="202" t="s">
        <v>1954</v>
      </c>
    </row>
    <row r="3" spans="1:31" s="200" customFormat="1" ht="13.8" x14ac:dyDescent="0.3">
      <c r="A3" s="199">
        <v>2</v>
      </c>
      <c r="B3" s="200" t="s">
        <v>1940</v>
      </c>
      <c r="G3" s="200" t="s">
        <v>1948</v>
      </c>
      <c r="N3" s="200" t="s">
        <v>1955</v>
      </c>
    </row>
    <row r="4" spans="1:31" s="202" customFormat="1" ht="13.8" customHeight="1" x14ac:dyDescent="0.3">
      <c r="A4" s="201">
        <v>3</v>
      </c>
      <c r="B4" s="202" t="s">
        <v>1945</v>
      </c>
      <c r="G4" s="202" t="s">
        <v>1947</v>
      </c>
      <c r="N4" s="202" t="s">
        <v>1956</v>
      </c>
    </row>
    <row r="5" spans="1:31" ht="17.399999999999999" customHeight="1" x14ac:dyDescent="0.3">
      <c r="F5" s="23"/>
      <c r="G5" s="188"/>
      <c r="J5"/>
      <c r="K5" s="189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ht="18.600000000000001" thickBot="1" x14ac:dyDescent="0.4">
      <c r="A6" s="190" t="s">
        <v>1942</v>
      </c>
      <c r="B6" s="190"/>
      <c r="C6" s="190"/>
      <c r="D6" s="190"/>
      <c r="E6" s="190"/>
      <c r="F6" s="190"/>
      <c r="G6" s="188"/>
      <c r="H6" s="191" t="s">
        <v>1943</v>
      </c>
      <c r="I6" s="191"/>
      <c r="J6" s="191"/>
      <c r="K6" s="191"/>
      <c r="L6" s="191"/>
      <c r="M6" s="191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ht="15" thickBot="1" x14ac:dyDescent="0.35">
      <c r="A7" s="192" t="s">
        <v>1262</v>
      </c>
      <c r="B7" s="193" t="s">
        <v>156</v>
      </c>
      <c r="C7" s="195" t="s">
        <v>2</v>
      </c>
      <c r="D7" s="195" t="s">
        <v>1941</v>
      </c>
      <c r="E7" s="194" t="s">
        <v>1</v>
      </c>
      <c r="F7" s="196" t="s">
        <v>3</v>
      </c>
      <c r="G7" s="188"/>
      <c r="H7" s="192" t="s">
        <v>1262</v>
      </c>
      <c r="I7" s="193" t="s">
        <v>156</v>
      </c>
      <c r="J7" s="195" t="s">
        <v>2</v>
      </c>
      <c r="K7" s="195" t="s">
        <v>1941</v>
      </c>
      <c r="L7" s="194" t="s">
        <v>1</v>
      </c>
      <c r="M7" s="196" t="s">
        <v>3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3">
      <c r="A8" s="176" t="s">
        <v>252</v>
      </c>
      <c r="B8" s="176" t="s">
        <v>253</v>
      </c>
      <c r="C8" s="25">
        <v>3128211050</v>
      </c>
      <c r="D8" s="188">
        <v>30152</v>
      </c>
      <c r="E8" s="197" t="s">
        <v>1267</v>
      </c>
      <c r="F8" s="23" t="s">
        <v>10</v>
      </c>
      <c r="G8" s="188"/>
      <c r="H8" s="176" t="s">
        <v>252</v>
      </c>
      <c r="I8" s="176" t="s">
        <v>253</v>
      </c>
      <c r="J8" s="25">
        <v>3128211050</v>
      </c>
      <c r="K8" s="188">
        <v>30152</v>
      </c>
      <c r="L8" s="23" t="s">
        <v>1267</v>
      </c>
      <c r="M8" s="23" t="s">
        <v>10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3">
      <c r="A9" s="176" t="s">
        <v>245</v>
      </c>
      <c r="B9" s="176" t="s">
        <v>246</v>
      </c>
      <c r="C9" s="25">
        <v>4077317354</v>
      </c>
      <c r="D9" s="188">
        <v>33961</v>
      </c>
      <c r="E9" s="23" t="s">
        <v>1268</v>
      </c>
      <c r="F9" s="23" t="s">
        <v>18</v>
      </c>
      <c r="G9" s="188"/>
      <c r="H9" s="176" t="s">
        <v>245</v>
      </c>
      <c r="I9" s="176" t="s">
        <v>246</v>
      </c>
      <c r="J9" s="25">
        <v>4077317354</v>
      </c>
      <c r="K9" s="188">
        <v>33961</v>
      </c>
      <c r="L9" s="23" t="s">
        <v>1268</v>
      </c>
      <c r="M9" s="23" t="s">
        <v>18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3">
      <c r="A10" s="176" t="s">
        <v>266</v>
      </c>
      <c r="B10" s="176" t="s">
        <v>267</v>
      </c>
      <c r="C10" s="181">
        <v>7133294956</v>
      </c>
      <c r="D10" s="188">
        <v>28848</v>
      </c>
      <c r="E10" s="23" t="s">
        <v>1269</v>
      </c>
      <c r="F10" s="182" t="s">
        <v>1266</v>
      </c>
      <c r="G10" s="188"/>
      <c r="H10" s="176" t="s">
        <v>266</v>
      </c>
      <c r="I10" s="176" t="s">
        <v>267</v>
      </c>
      <c r="J10" s="181">
        <v>7133294956</v>
      </c>
      <c r="K10" s="188">
        <v>28848</v>
      </c>
      <c r="L10" s="23" t="s">
        <v>1269</v>
      </c>
      <c r="M10" s="182" t="s">
        <v>1266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3">
      <c r="A11" s="176" t="s">
        <v>216</v>
      </c>
      <c r="B11" s="176" t="s">
        <v>217</v>
      </c>
      <c r="C11" s="25">
        <v>7161517218</v>
      </c>
      <c r="D11" s="188">
        <v>30631</v>
      </c>
      <c r="E11" s="23" t="s">
        <v>1270</v>
      </c>
      <c r="F11" s="23" t="s">
        <v>10</v>
      </c>
      <c r="G11" s="188"/>
      <c r="H11" s="176" t="s">
        <v>216</v>
      </c>
      <c r="I11" s="176" t="s">
        <v>217</v>
      </c>
      <c r="J11" s="25">
        <v>7161517218</v>
      </c>
      <c r="K11" s="188">
        <v>30631</v>
      </c>
      <c r="L11" s="23" t="s">
        <v>1270</v>
      </c>
      <c r="M11" s="23" t="s">
        <v>10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3">
      <c r="A12" s="176" t="s">
        <v>250</v>
      </c>
      <c r="B12" s="176" t="s">
        <v>251</v>
      </c>
      <c r="C12" s="25">
        <v>7087422559</v>
      </c>
      <c r="D12" s="188">
        <v>28311</v>
      </c>
      <c r="E12" s="23" t="s">
        <v>1271</v>
      </c>
      <c r="F12" s="23" t="s">
        <v>10</v>
      </c>
      <c r="G12" s="188"/>
      <c r="H12" s="176" t="s">
        <v>250</v>
      </c>
      <c r="I12" s="176" t="s">
        <v>251</v>
      </c>
      <c r="J12" s="25">
        <v>7087422559</v>
      </c>
      <c r="K12" s="188">
        <v>28311</v>
      </c>
      <c r="L12" s="23" t="s">
        <v>1271</v>
      </c>
      <c r="M12" s="23" t="s">
        <v>10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3">
      <c r="A13" s="176" t="s">
        <v>268</v>
      </c>
      <c r="B13" s="176" t="s">
        <v>269</v>
      </c>
      <c r="C13" s="25">
        <v>7146593848</v>
      </c>
      <c r="D13" s="188">
        <v>29702</v>
      </c>
      <c r="E13" s="23" t="s">
        <v>1272</v>
      </c>
      <c r="F13" s="23" t="s">
        <v>33</v>
      </c>
      <c r="G13" s="188"/>
      <c r="H13" s="176" t="s">
        <v>268</v>
      </c>
      <c r="I13" s="176" t="s">
        <v>269</v>
      </c>
      <c r="J13" s="25">
        <v>7146593848</v>
      </c>
      <c r="K13" s="188">
        <v>29702</v>
      </c>
      <c r="L13" s="23" t="s">
        <v>1272</v>
      </c>
      <c r="M13" s="23" t="s">
        <v>33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3">
      <c r="A14" s="176" t="s">
        <v>270</v>
      </c>
      <c r="B14" s="176" t="s">
        <v>271</v>
      </c>
      <c r="C14" s="25">
        <v>7161854525</v>
      </c>
      <c r="D14" s="188">
        <v>32694</v>
      </c>
      <c r="E14" s="23" t="s">
        <v>1273</v>
      </c>
      <c r="F14" s="23" t="s">
        <v>10</v>
      </c>
      <c r="G14" s="188"/>
      <c r="H14" s="176" t="s">
        <v>270</v>
      </c>
      <c r="I14" s="176" t="s">
        <v>271</v>
      </c>
      <c r="J14" s="25">
        <v>7161854525</v>
      </c>
      <c r="K14" s="188">
        <v>32694</v>
      </c>
      <c r="L14" s="23" t="s">
        <v>1273</v>
      </c>
      <c r="M14" s="23" t="s">
        <v>10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3">
      <c r="A15" s="176" t="s">
        <v>272</v>
      </c>
      <c r="B15" s="176" t="s">
        <v>273</v>
      </c>
      <c r="C15" s="25">
        <v>9144555389</v>
      </c>
      <c r="D15" s="188">
        <v>27859</v>
      </c>
      <c r="E15" s="23" t="s">
        <v>1274</v>
      </c>
      <c r="F15" s="23" t="s">
        <v>10</v>
      </c>
      <c r="G15" s="188"/>
      <c r="H15" s="176" t="s">
        <v>272</v>
      </c>
      <c r="I15" s="176" t="s">
        <v>273</v>
      </c>
      <c r="J15" s="25">
        <v>9144555389</v>
      </c>
      <c r="K15" s="188">
        <v>27859</v>
      </c>
      <c r="L15" s="23" t="s">
        <v>1274</v>
      </c>
      <c r="M15" s="23" t="s">
        <v>10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3">
      <c r="A16" s="176" t="s">
        <v>274</v>
      </c>
      <c r="B16" s="176" t="s">
        <v>275</v>
      </c>
      <c r="C16" s="25">
        <v>2136306545</v>
      </c>
      <c r="D16" s="188">
        <v>27858</v>
      </c>
      <c r="E16" s="23" t="s">
        <v>1275</v>
      </c>
      <c r="F16" s="23" t="s">
        <v>6</v>
      </c>
      <c r="G16" s="188"/>
      <c r="H16" s="176" t="s">
        <v>274</v>
      </c>
      <c r="I16" s="176" t="s">
        <v>275</v>
      </c>
      <c r="J16" s="25">
        <v>2136306545</v>
      </c>
      <c r="K16" s="188">
        <v>27858</v>
      </c>
      <c r="L16" s="23" t="s">
        <v>1275</v>
      </c>
      <c r="M16" s="23" t="s">
        <v>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3">
      <c r="A17" s="176" t="s">
        <v>276</v>
      </c>
      <c r="B17" s="176" t="s">
        <v>277</v>
      </c>
      <c r="C17" s="25">
        <v>3196007063</v>
      </c>
      <c r="D17" s="188">
        <v>35747</v>
      </c>
      <c r="E17" s="23" t="s">
        <v>1276</v>
      </c>
      <c r="F17" s="23" t="s">
        <v>18</v>
      </c>
      <c r="G17" s="188"/>
      <c r="H17" s="176" t="s">
        <v>276</v>
      </c>
      <c r="I17" s="176" t="s">
        <v>277</v>
      </c>
      <c r="J17" s="25">
        <v>3196007063</v>
      </c>
      <c r="K17" s="188">
        <v>35747</v>
      </c>
      <c r="L17" s="23" t="s">
        <v>1276</v>
      </c>
      <c r="M17" s="23" t="s">
        <v>18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3">
      <c r="A18" s="176" t="s">
        <v>278</v>
      </c>
      <c r="B18" s="176" t="s">
        <v>279</v>
      </c>
      <c r="C18" s="25">
        <v>5158842613</v>
      </c>
      <c r="D18" s="188">
        <v>29671</v>
      </c>
      <c r="E18" s="23" t="s">
        <v>1277</v>
      </c>
      <c r="F18" s="23" t="s">
        <v>6</v>
      </c>
      <c r="G18" s="188"/>
      <c r="H18" s="176" t="s">
        <v>278</v>
      </c>
      <c r="I18" s="176" t="s">
        <v>279</v>
      </c>
      <c r="J18" s="25">
        <v>5158842613</v>
      </c>
      <c r="K18" s="188">
        <v>29671</v>
      </c>
      <c r="L18" s="23" t="s">
        <v>1277</v>
      </c>
      <c r="M18" s="23" t="s">
        <v>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3">
      <c r="A19" s="176" t="s">
        <v>280</v>
      </c>
      <c r="B19" s="176" t="s">
        <v>281</v>
      </c>
      <c r="C19" s="25">
        <v>3164160215</v>
      </c>
      <c r="D19" s="188">
        <v>35708</v>
      </c>
      <c r="E19" s="23" t="s">
        <v>1278</v>
      </c>
      <c r="F19" s="23" t="s">
        <v>10</v>
      </c>
      <c r="G19" s="188"/>
      <c r="H19" s="176" t="s">
        <v>280</v>
      </c>
      <c r="I19" s="176" t="s">
        <v>281</v>
      </c>
      <c r="J19" s="25">
        <v>3164160215</v>
      </c>
      <c r="K19" s="188">
        <v>35708</v>
      </c>
      <c r="L19" s="23" t="s">
        <v>1278</v>
      </c>
      <c r="M19" s="23" t="s">
        <v>10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3">
      <c r="A20" s="176" t="s">
        <v>282</v>
      </c>
      <c r="B20" s="176" t="s">
        <v>283</v>
      </c>
      <c r="C20" s="25">
        <v>6077904981</v>
      </c>
      <c r="D20" s="188">
        <v>28497</v>
      </c>
      <c r="E20" s="23" t="s">
        <v>1279</v>
      </c>
      <c r="F20" s="23" t="s">
        <v>10</v>
      </c>
      <c r="G20" s="188"/>
      <c r="H20" s="176" t="s">
        <v>282</v>
      </c>
      <c r="I20" s="176" t="s">
        <v>283</v>
      </c>
      <c r="J20" s="25">
        <v>6077904981</v>
      </c>
      <c r="K20" s="188">
        <v>28497</v>
      </c>
      <c r="L20" s="23" t="s">
        <v>1279</v>
      </c>
      <c r="M20" s="23" t="s">
        <v>10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3">
      <c r="A21" s="176" t="s">
        <v>284</v>
      </c>
      <c r="B21" s="176" t="s">
        <v>285</v>
      </c>
      <c r="C21" s="25">
        <v>4065699651</v>
      </c>
      <c r="D21" s="188">
        <v>29369</v>
      </c>
      <c r="E21" s="23" t="s">
        <v>1280</v>
      </c>
      <c r="F21" s="23" t="s">
        <v>10</v>
      </c>
      <c r="G21" s="188"/>
      <c r="H21" s="176" t="s">
        <v>284</v>
      </c>
      <c r="I21" s="176" t="s">
        <v>285</v>
      </c>
      <c r="J21" s="25">
        <v>4065699651</v>
      </c>
      <c r="K21" s="188">
        <v>29369</v>
      </c>
      <c r="L21" s="23" t="s">
        <v>1280</v>
      </c>
      <c r="M21" s="23" t="s">
        <v>10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3">
      <c r="A22" s="176" t="s">
        <v>218</v>
      </c>
      <c r="B22" s="176" t="s">
        <v>219</v>
      </c>
      <c r="C22" s="25">
        <v>2176092172</v>
      </c>
      <c r="D22" s="188">
        <v>29787</v>
      </c>
      <c r="E22" s="23" t="s">
        <v>1281</v>
      </c>
      <c r="F22" s="23" t="s">
        <v>10</v>
      </c>
      <c r="G22" s="188"/>
      <c r="H22" s="176" t="s">
        <v>218</v>
      </c>
      <c r="I22" s="176" t="s">
        <v>219</v>
      </c>
      <c r="J22" s="25">
        <v>2176092172</v>
      </c>
      <c r="K22" s="188">
        <v>29787</v>
      </c>
      <c r="L22" s="23" t="s">
        <v>1281</v>
      </c>
      <c r="M22" s="23" t="s">
        <v>10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3">
      <c r="A23" s="176" t="s">
        <v>286</v>
      </c>
      <c r="B23" s="176" t="s">
        <v>271</v>
      </c>
      <c r="C23" s="25">
        <v>3128742282</v>
      </c>
      <c r="D23" s="188">
        <v>35194</v>
      </c>
      <c r="E23" s="23" t="s">
        <v>1282</v>
      </c>
      <c r="F23" s="23" t="s">
        <v>10</v>
      </c>
      <c r="G23" s="188"/>
      <c r="H23" s="176" t="s">
        <v>286</v>
      </c>
      <c r="I23" s="176" t="s">
        <v>271</v>
      </c>
      <c r="J23" s="25">
        <v>3128742282</v>
      </c>
      <c r="K23" s="188">
        <v>35194</v>
      </c>
      <c r="L23" s="23" t="s">
        <v>1282</v>
      </c>
      <c r="M23" s="23" t="s">
        <v>10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3">
      <c r="A24" s="176" t="s">
        <v>287</v>
      </c>
      <c r="B24" s="176" t="s">
        <v>288</v>
      </c>
      <c r="C24" s="25">
        <v>5088097539</v>
      </c>
      <c r="D24" s="188">
        <v>28025</v>
      </c>
      <c r="E24" s="23" t="s">
        <v>1283</v>
      </c>
      <c r="F24" s="23" t="s">
        <v>18</v>
      </c>
      <c r="G24" s="188"/>
      <c r="H24" s="176" t="s">
        <v>287</v>
      </c>
      <c r="I24" s="176" t="s">
        <v>288</v>
      </c>
      <c r="J24" s="25">
        <v>5088097539</v>
      </c>
      <c r="K24" s="188">
        <v>28025</v>
      </c>
      <c r="L24" s="23" t="s">
        <v>1283</v>
      </c>
      <c r="M24" s="23" t="s">
        <v>18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3">
      <c r="A25" s="176" t="s">
        <v>289</v>
      </c>
      <c r="B25" s="176" t="s">
        <v>290</v>
      </c>
      <c r="C25" s="25">
        <v>2142636516</v>
      </c>
      <c r="D25" s="188">
        <v>27920</v>
      </c>
      <c r="E25" s="23" t="s">
        <v>1284</v>
      </c>
      <c r="F25" s="23" t="s">
        <v>6</v>
      </c>
      <c r="G25" s="188"/>
      <c r="H25" s="176" t="s">
        <v>289</v>
      </c>
      <c r="I25" s="176" t="s">
        <v>290</v>
      </c>
      <c r="J25" s="25">
        <v>2142636516</v>
      </c>
      <c r="K25" s="188">
        <v>27920</v>
      </c>
      <c r="L25" s="23" t="s">
        <v>1284</v>
      </c>
      <c r="M25" s="23" t="s">
        <v>6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3">
      <c r="A26" s="176" t="s">
        <v>291</v>
      </c>
      <c r="B26" s="176" t="s">
        <v>292</v>
      </c>
      <c r="C26" s="25">
        <v>5025724528</v>
      </c>
      <c r="D26" s="188">
        <v>28613</v>
      </c>
      <c r="E26" s="23" t="s">
        <v>1285</v>
      </c>
      <c r="F26" s="23" t="s">
        <v>10</v>
      </c>
      <c r="G26" s="188"/>
      <c r="H26" s="176" t="s">
        <v>291</v>
      </c>
      <c r="I26" s="176" t="s">
        <v>292</v>
      </c>
      <c r="J26" s="25">
        <v>5025724528</v>
      </c>
      <c r="K26" s="188">
        <v>28613</v>
      </c>
      <c r="L26" s="23" t="s">
        <v>1285</v>
      </c>
      <c r="M26" s="23" t="s">
        <v>10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3">
      <c r="A27" s="176" t="s">
        <v>293</v>
      </c>
      <c r="B27" s="176" t="s">
        <v>294</v>
      </c>
      <c r="C27" s="25">
        <v>4134316324</v>
      </c>
      <c r="D27" s="188">
        <v>28933</v>
      </c>
      <c r="E27" s="23" t="s">
        <v>1286</v>
      </c>
      <c r="F27" s="23" t="s">
        <v>10</v>
      </c>
      <c r="G27" s="188"/>
      <c r="H27" s="176" t="s">
        <v>293</v>
      </c>
      <c r="I27" s="176" t="s">
        <v>294</v>
      </c>
      <c r="J27" s="25">
        <v>4134316324</v>
      </c>
      <c r="K27" s="188">
        <v>28933</v>
      </c>
      <c r="L27" s="23" t="s">
        <v>1286</v>
      </c>
      <c r="M27" s="23" t="s">
        <v>10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3">
      <c r="A28" s="176" t="s">
        <v>295</v>
      </c>
      <c r="B28" s="176" t="s">
        <v>296</v>
      </c>
      <c r="C28" s="25">
        <v>6187103200</v>
      </c>
      <c r="D28" s="188">
        <v>29787</v>
      </c>
      <c r="E28" s="23" t="s">
        <v>1287</v>
      </c>
      <c r="F28" s="23" t="s">
        <v>10</v>
      </c>
      <c r="G28" s="188"/>
      <c r="H28" s="176" t="s">
        <v>295</v>
      </c>
      <c r="I28" s="176" t="s">
        <v>296</v>
      </c>
      <c r="J28" s="25">
        <v>6187103200</v>
      </c>
      <c r="K28" s="188">
        <v>29787</v>
      </c>
      <c r="L28" s="23" t="s">
        <v>1287</v>
      </c>
      <c r="M28" s="23" t="s">
        <v>10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3">
      <c r="A29" s="176" t="s">
        <v>297</v>
      </c>
      <c r="B29" s="176" t="s">
        <v>298</v>
      </c>
      <c r="C29" s="25">
        <v>3037345539</v>
      </c>
      <c r="D29" s="188">
        <v>30496</v>
      </c>
      <c r="E29" s="23" t="s">
        <v>1288</v>
      </c>
      <c r="F29" s="23" t="s">
        <v>10</v>
      </c>
      <c r="G29" s="188"/>
      <c r="H29" s="176" t="s">
        <v>297</v>
      </c>
      <c r="I29" s="176" t="s">
        <v>298</v>
      </c>
      <c r="J29" s="25">
        <v>3037345539</v>
      </c>
      <c r="K29" s="188">
        <v>30496</v>
      </c>
      <c r="L29" s="23" t="s">
        <v>1288</v>
      </c>
      <c r="M29" s="23" t="s">
        <v>10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3">
      <c r="A30" s="176" t="s">
        <v>299</v>
      </c>
      <c r="B30" s="176" t="s">
        <v>300</v>
      </c>
      <c r="C30" s="25">
        <v>7176188082</v>
      </c>
      <c r="D30" s="188">
        <v>34693</v>
      </c>
      <c r="E30" s="23" t="s">
        <v>1289</v>
      </c>
      <c r="F30" s="23" t="s">
        <v>10</v>
      </c>
      <c r="G30" s="188"/>
      <c r="H30" s="176" t="s">
        <v>299</v>
      </c>
      <c r="I30" s="176" t="s">
        <v>300</v>
      </c>
      <c r="J30" s="25">
        <v>7176188082</v>
      </c>
      <c r="K30" s="188">
        <v>34693</v>
      </c>
      <c r="L30" s="23" t="s">
        <v>1289</v>
      </c>
      <c r="M30" s="23" t="s">
        <v>10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3">
      <c r="A31" s="176" t="s">
        <v>301</v>
      </c>
      <c r="B31" s="176" t="s">
        <v>302</v>
      </c>
      <c r="C31" s="25">
        <v>6017852326</v>
      </c>
      <c r="D31" s="188">
        <v>29899</v>
      </c>
      <c r="E31" s="23" t="s">
        <v>1290</v>
      </c>
      <c r="F31" s="23" t="s">
        <v>10</v>
      </c>
      <c r="G31" s="188"/>
      <c r="H31" s="176" t="s">
        <v>301</v>
      </c>
      <c r="I31" s="176" t="s">
        <v>302</v>
      </c>
      <c r="J31" s="25">
        <v>6017852326</v>
      </c>
      <c r="K31" s="188">
        <v>29899</v>
      </c>
      <c r="L31" s="23" t="s">
        <v>1290</v>
      </c>
      <c r="M31" s="23" t="s">
        <v>10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3">
      <c r="A32" s="176" t="s">
        <v>303</v>
      </c>
      <c r="B32" s="176" t="s">
        <v>304</v>
      </c>
      <c r="C32" s="25">
        <v>7168561612</v>
      </c>
      <c r="D32" s="188">
        <v>33339</v>
      </c>
      <c r="E32" s="23" t="s">
        <v>1291</v>
      </c>
      <c r="F32" s="23" t="s">
        <v>6</v>
      </c>
      <c r="G32" s="188"/>
      <c r="H32" s="176" t="s">
        <v>303</v>
      </c>
      <c r="I32" s="176" t="s">
        <v>304</v>
      </c>
      <c r="J32" s="25">
        <v>7168561612</v>
      </c>
      <c r="K32" s="188">
        <v>33339</v>
      </c>
      <c r="L32" s="23" t="s">
        <v>1291</v>
      </c>
      <c r="M32" s="23" t="s">
        <v>6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ht="26.4" x14ac:dyDescent="0.3">
      <c r="A33" s="176" t="s">
        <v>305</v>
      </c>
      <c r="B33" s="176" t="s">
        <v>306</v>
      </c>
      <c r="C33" s="25">
        <v>5188472270</v>
      </c>
      <c r="D33" s="188">
        <v>34836</v>
      </c>
      <c r="E33" s="23" t="s">
        <v>1292</v>
      </c>
      <c r="F33" s="23" t="s">
        <v>10</v>
      </c>
      <c r="G33" s="188"/>
      <c r="H33" s="176" t="s">
        <v>305</v>
      </c>
      <c r="I33" s="176" t="s">
        <v>306</v>
      </c>
      <c r="J33" s="25">
        <v>5188472270</v>
      </c>
      <c r="K33" s="188">
        <v>34836</v>
      </c>
      <c r="L33" s="23" t="s">
        <v>1292</v>
      </c>
      <c r="M33" s="23" t="s">
        <v>10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3">
      <c r="A34" s="176" t="s">
        <v>307</v>
      </c>
      <c r="B34" s="176" t="s">
        <v>308</v>
      </c>
      <c r="C34" s="25">
        <v>4086446519</v>
      </c>
      <c r="D34" s="188">
        <v>30039</v>
      </c>
      <c r="E34" s="23" t="s">
        <v>1293</v>
      </c>
      <c r="F34" s="23" t="s">
        <v>10</v>
      </c>
      <c r="G34" s="188"/>
      <c r="H34" s="176" t="s">
        <v>307</v>
      </c>
      <c r="I34" s="176" t="s">
        <v>308</v>
      </c>
      <c r="J34" s="25">
        <v>4086446519</v>
      </c>
      <c r="K34" s="188">
        <v>30039</v>
      </c>
      <c r="L34" s="23" t="s">
        <v>1293</v>
      </c>
      <c r="M34" s="23" t="s">
        <v>10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3">
      <c r="A35" s="176" t="s">
        <v>309</v>
      </c>
      <c r="B35" s="176" t="s">
        <v>310</v>
      </c>
      <c r="C35" s="25">
        <v>3124743535</v>
      </c>
      <c r="D35" s="188">
        <v>29379</v>
      </c>
      <c r="E35" s="23" t="s">
        <v>1294</v>
      </c>
      <c r="F35" s="23" t="s">
        <v>10</v>
      </c>
      <c r="G35" s="188"/>
      <c r="H35" s="176" t="s">
        <v>309</v>
      </c>
      <c r="I35" s="176" t="s">
        <v>310</v>
      </c>
      <c r="J35" s="25">
        <v>3124743535</v>
      </c>
      <c r="K35" s="188">
        <v>29379</v>
      </c>
      <c r="L35" s="23" t="s">
        <v>1294</v>
      </c>
      <c r="M35" s="23" t="s">
        <v>10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3">
      <c r="A36" s="176" t="s">
        <v>311</v>
      </c>
      <c r="B36" s="176" t="s">
        <v>312</v>
      </c>
      <c r="C36" s="25">
        <v>7035013435</v>
      </c>
      <c r="D36" s="188">
        <v>35625</v>
      </c>
      <c r="E36" s="23" t="s">
        <v>1295</v>
      </c>
      <c r="F36" s="23" t="s">
        <v>6</v>
      </c>
      <c r="G36" s="188"/>
      <c r="H36" s="176" t="s">
        <v>311</v>
      </c>
      <c r="I36" s="176" t="s">
        <v>312</v>
      </c>
      <c r="J36" s="25">
        <v>7035013435</v>
      </c>
      <c r="K36" s="188">
        <v>35625</v>
      </c>
      <c r="L36" s="23" t="s">
        <v>1295</v>
      </c>
      <c r="M36" s="23" t="s">
        <v>6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3">
      <c r="A37" s="176" t="s">
        <v>313</v>
      </c>
      <c r="B37" s="176" t="s">
        <v>314</v>
      </c>
      <c r="C37" s="25">
        <v>5137722509</v>
      </c>
      <c r="D37" s="188">
        <v>29487</v>
      </c>
      <c r="E37" s="23" t="s">
        <v>1296</v>
      </c>
      <c r="F37" s="23" t="s">
        <v>10</v>
      </c>
      <c r="G37" s="188"/>
      <c r="H37" s="176" t="s">
        <v>313</v>
      </c>
      <c r="I37" s="176" t="s">
        <v>314</v>
      </c>
      <c r="J37" s="25">
        <v>5137722509</v>
      </c>
      <c r="K37" s="188">
        <v>29487</v>
      </c>
      <c r="L37" s="23" t="s">
        <v>1296</v>
      </c>
      <c r="M37" s="23" t="s">
        <v>10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3">
      <c r="A38" s="176" t="s">
        <v>315</v>
      </c>
      <c r="B38" s="176" t="s">
        <v>316</v>
      </c>
      <c r="C38" s="25">
        <v>2121389906</v>
      </c>
      <c r="D38" s="188">
        <v>28537</v>
      </c>
      <c r="E38" s="23" t="s">
        <v>1297</v>
      </c>
      <c r="F38" s="23" t="s">
        <v>10</v>
      </c>
      <c r="G38" s="188"/>
      <c r="H38" s="176" t="s">
        <v>315</v>
      </c>
      <c r="I38" s="176" t="s">
        <v>316</v>
      </c>
      <c r="J38" s="25">
        <v>2121389906</v>
      </c>
      <c r="K38" s="188">
        <v>28537</v>
      </c>
      <c r="L38" s="23" t="s">
        <v>1297</v>
      </c>
      <c r="M38" s="23" t="s">
        <v>10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3">
      <c r="A39" s="176" t="s">
        <v>243</v>
      </c>
      <c r="B39" s="176" t="s">
        <v>219</v>
      </c>
      <c r="C39" s="25">
        <v>9024378387</v>
      </c>
      <c r="D39" s="188">
        <v>30367</v>
      </c>
      <c r="E39" s="23" t="s">
        <v>1298</v>
      </c>
      <c r="F39" s="23" t="s">
        <v>6</v>
      </c>
      <c r="G39" s="188"/>
      <c r="H39" s="176" t="s">
        <v>243</v>
      </c>
      <c r="I39" s="176" t="s">
        <v>219</v>
      </c>
      <c r="J39" s="25">
        <v>9024378387</v>
      </c>
      <c r="K39" s="188">
        <v>30367</v>
      </c>
      <c r="L39" s="23" t="s">
        <v>1298</v>
      </c>
      <c r="M39" s="23" t="s">
        <v>6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3">
      <c r="A40" s="176" t="s">
        <v>317</v>
      </c>
      <c r="B40" s="176" t="s">
        <v>318</v>
      </c>
      <c r="C40" s="25">
        <v>3186757210</v>
      </c>
      <c r="D40" s="188">
        <v>31933</v>
      </c>
      <c r="E40" s="23" t="s">
        <v>1299</v>
      </c>
      <c r="F40" s="23" t="s">
        <v>6</v>
      </c>
      <c r="G40" s="188"/>
      <c r="H40" s="176" t="s">
        <v>317</v>
      </c>
      <c r="I40" s="176" t="s">
        <v>318</v>
      </c>
      <c r="J40" s="25">
        <v>3186757210</v>
      </c>
      <c r="K40" s="188">
        <v>31933</v>
      </c>
      <c r="L40" s="23" t="s">
        <v>1299</v>
      </c>
      <c r="M40" s="23" t="s">
        <v>6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3">
      <c r="A41" s="176" t="s">
        <v>319</v>
      </c>
      <c r="B41" s="176" t="s">
        <v>320</v>
      </c>
      <c r="C41" s="25">
        <v>3037173558</v>
      </c>
      <c r="D41" s="188">
        <v>32417</v>
      </c>
      <c r="E41" s="23" t="s">
        <v>1300</v>
      </c>
      <c r="F41" s="23" t="s">
        <v>10</v>
      </c>
      <c r="G41" s="188"/>
      <c r="H41" s="176" t="s">
        <v>319</v>
      </c>
      <c r="I41" s="176" t="s">
        <v>320</v>
      </c>
      <c r="J41" s="25">
        <v>3037173558</v>
      </c>
      <c r="K41" s="188">
        <v>32417</v>
      </c>
      <c r="L41" s="23" t="s">
        <v>1300</v>
      </c>
      <c r="M41" s="23" t="s">
        <v>10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3">
      <c r="A42" s="176" t="s">
        <v>321</v>
      </c>
      <c r="B42" s="176" t="s">
        <v>322</v>
      </c>
      <c r="C42" s="25">
        <v>9193122603</v>
      </c>
      <c r="D42" s="188">
        <v>32648</v>
      </c>
      <c r="E42" s="23" t="s">
        <v>1301</v>
      </c>
      <c r="F42" s="23" t="s">
        <v>10</v>
      </c>
      <c r="G42" s="188"/>
      <c r="H42" s="176" t="s">
        <v>321</v>
      </c>
      <c r="I42" s="176" t="s">
        <v>322</v>
      </c>
      <c r="J42" s="25">
        <v>9193122603</v>
      </c>
      <c r="K42" s="188">
        <v>32648</v>
      </c>
      <c r="L42" s="23" t="s">
        <v>1301</v>
      </c>
      <c r="M42" s="23" t="s">
        <v>10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3">
      <c r="A43" s="176" t="s">
        <v>323</v>
      </c>
      <c r="B43" s="176" t="s">
        <v>310</v>
      </c>
      <c r="C43" s="25">
        <v>5113708610</v>
      </c>
      <c r="D43" s="188">
        <v>32663</v>
      </c>
      <c r="E43" s="23" t="s">
        <v>1302</v>
      </c>
      <c r="F43" s="23" t="s">
        <v>6</v>
      </c>
      <c r="G43" s="188"/>
      <c r="H43" s="176" t="s">
        <v>323</v>
      </c>
      <c r="I43" s="176" t="s">
        <v>310</v>
      </c>
      <c r="J43" s="25">
        <v>5113708610</v>
      </c>
      <c r="K43" s="188">
        <v>32663</v>
      </c>
      <c r="L43" s="23" t="s">
        <v>1302</v>
      </c>
      <c r="M43" s="23" t="s">
        <v>6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3">
      <c r="A44" s="176" t="s">
        <v>324</v>
      </c>
      <c r="B44" s="176" t="s">
        <v>325</v>
      </c>
      <c r="C44" s="25">
        <v>2093492633</v>
      </c>
      <c r="D44" s="188">
        <v>32789</v>
      </c>
      <c r="E44" s="23" t="s">
        <v>1303</v>
      </c>
      <c r="F44" s="23" t="s">
        <v>6</v>
      </c>
      <c r="G44" s="188"/>
      <c r="H44" s="176" t="s">
        <v>324</v>
      </c>
      <c r="I44" s="176" t="s">
        <v>325</v>
      </c>
      <c r="J44" s="25">
        <v>2093492633</v>
      </c>
      <c r="K44" s="188">
        <v>32789</v>
      </c>
      <c r="L44" s="23" t="s">
        <v>1303</v>
      </c>
      <c r="M44" s="23" t="s">
        <v>6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3">
      <c r="A45" s="176" t="s">
        <v>326</v>
      </c>
      <c r="B45" s="176" t="s">
        <v>285</v>
      </c>
      <c r="C45" s="25">
        <v>5055627374</v>
      </c>
      <c r="D45" s="188">
        <v>30152</v>
      </c>
      <c r="E45" s="23" t="s">
        <v>1304</v>
      </c>
      <c r="F45" s="23" t="s">
        <v>10</v>
      </c>
      <c r="G45" s="188"/>
      <c r="H45" s="176" t="s">
        <v>326</v>
      </c>
      <c r="I45" s="176" t="s">
        <v>285</v>
      </c>
      <c r="J45" s="25">
        <v>5055627374</v>
      </c>
      <c r="K45" s="188">
        <v>30152</v>
      </c>
      <c r="L45" s="23" t="s">
        <v>1304</v>
      </c>
      <c r="M45" s="23" t="s">
        <v>10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3">
      <c r="A46" s="176" t="s">
        <v>327</v>
      </c>
      <c r="B46" s="176" t="s">
        <v>328</v>
      </c>
      <c r="C46" s="25">
        <v>4036194175</v>
      </c>
      <c r="D46" s="188">
        <v>33961</v>
      </c>
      <c r="E46" s="23" t="s">
        <v>1305</v>
      </c>
      <c r="F46" s="23" t="s">
        <v>33</v>
      </c>
      <c r="G46" s="188"/>
      <c r="H46" s="176" t="s">
        <v>327</v>
      </c>
      <c r="I46" s="176" t="s">
        <v>328</v>
      </c>
      <c r="J46" s="25">
        <v>4036194175</v>
      </c>
      <c r="K46" s="188">
        <v>33961</v>
      </c>
      <c r="L46" s="23" t="s">
        <v>1305</v>
      </c>
      <c r="M46" s="23" t="s">
        <v>33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3">
      <c r="A47" s="176" t="s">
        <v>329</v>
      </c>
      <c r="B47" s="176" t="s">
        <v>330</v>
      </c>
      <c r="C47" s="25">
        <v>4082911046</v>
      </c>
      <c r="D47" s="188">
        <v>28848</v>
      </c>
      <c r="E47" s="23" t="s">
        <v>1306</v>
      </c>
      <c r="F47" s="23" t="s">
        <v>6</v>
      </c>
      <c r="G47" s="188"/>
      <c r="H47" s="176" t="s">
        <v>329</v>
      </c>
      <c r="I47" s="176" t="s">
        <v>330</v>
      </c>
      <c r="J47" s="25">
        <v>4082911046</v>
      </c>
      <c r="K47" s="188">
        <v>28848</v>
      </c>
      <c r="L47" s="23" t="s">
        <v>1306</v>
      </c>
      <c r="M47" s="23" t="s">
        <v>6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3">
      <c r="A48" s="176" t="s">
        <v>331</v>
      </c>
      <c r="B48" s="176" t="s">
        <v>332</v>
      </c>
      <c r="C48" s="25">
        <v>6163539786</v>
      </c>
      <c r="D48" s="188">
        <v>30631</v>
      </c>
      <c r="E48" s="23" t="s">
        <v>1307</v>
      </c>
      <c r="F48" s="23" t="s">
        <v>10</v>
      </c>
      <c r="G48" s="188"/>
      <c r="H48" s="176" t="s">
        <v>331</v>
      </c>
      <c r="I48" s="176" t="s">
        <v>332</v>
      </c>
      <c r="J48" s="25">
        <v>6163539786</v>
      </c>
      <c r="K48" s="188">
        <v>30631</v>
      </c>
      <c r="L48" s="23" t="s">
        <v>1307</v>
      </c>
      <c r="M48" s="23" t="s">
        <v>10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3">
      <c r="A49" s="176" t="s">
        <v>333</v>
      </c>
      <c r="B49" s="176" t="s">
        <v>334</v>
      </c>
      <c r="C49" s="25">
        <v>7115526537</v>
      </c>
      <c r="D49" s="188">
        <v>28311</v>
      </c>
      <c r="E49" s="23" t="s">
        <v>1308</v>
      </c>
      <c r="F49" s="23" t="s">
        <v>10</v>
      </c>
      <c r="G49" s="188"/>
      <c r="H49" s="176" t="s">
        <v>333</v>
      </c>
      <c r="I49" s="176" t="s">
        <v>334</v>
      </c>
      <c r="J49" s="25">
        <v>7115526537</v>
      </c>
      <c r="K49" s="188">
        <v>28311</v>
      </c>
      <c r="L49" s="23" t="s">
        <v>1308</v>
      </c>
      <c r="M49" s="23" t="s">
        <v>10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3">
      <c r="A50" s="176" t="s">
        <v>335</v>
      </c>
      <c r="B50" s="176" t="s">
        <v>336</v>
      </c>
      <c r="C50" s="25">
        <v>7147553017</v>
      </c>
      <c r="D50" s="188">
        <v>29702</v>
      </c>
      <c r="E50" s="23" t="s">
        <v>1309</v>
      </c>
      <c r="F50" s="23" t="s">
        <v>6</v>
      </c>
      <c r="G50" s="188"/>
      <c r="H50" s="176" t="s">
        <v>335</v>
      </c>
      <c r="I50" s="176" t="s">
        <v>336</v>
      </c>
      <c r="J50" s="25">
        <v>7147553017</v>
      </c>
      <c r="K50" s="188">
        <v>29702</v>
      </c>
      <c r="L50" s="23" t="s">
        <v>1309</v>
      </c>
      <c r="M50" s="23" t="s">
        <v>6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3">
      <c r="A51" s="176" t="s">
        <v>337</v>
      </c>
      <c r="B51" s="176" t="s">
        <v>338</v>
      </c>
      <c r="C51" s="25">
        <v>3172778445</v>
      </c>
      <c r="D51" s="188">
        <v>32694</v>
      </c>
      <c r="E51" s="23" t="s">
        <v>1310</v>
      </c>
      <c r="F51" s="23" t="s">
        <v>6</v>
      </c>
      <c r="G51" s="188"/>
      <c r="H51" s="176" t="s">
        <v>337</v>
      </c>
      <c r="I51" s="176" t="s">
        <v>338</v>
      </c>
      <c r="J51" s="25">
        <v>3172778445</v>
      </c>
      <c r="K51" s="188">
        <v>32694</v>
      </c>
      <c r="L51" s="23" t="s">
        <v>1310</v>
      </c>
      <c r="M51" s="23" t="s">
        <v>6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3">
      <c r="A52" s="176" t="s">
        <v>339</v>
      </c>
      <c r="B52" s="176" t="s">
        <v>340</v>
      </c>
      <c r="C52" s="25">
        <v>5164563177</v>
      </c>
      <c r="D52" s="188">
        <v>27859</v>
      </c>
      <c r="E52" s="23" t="s">
        <v>1311</v>
      </c>
      <c r="F52" s="23" t="s">
        <v>6</v>
      </c>
      <c r="G52" s="188"/>
      <c r="H52" s="176" t="s">
        <v>339</v>
      </c>
      <c r="I52" s="176" t="s">
        <v>340</v>
      </c>
      <c r="J52" s="25">
        <v>5164563177</v>
      </c>
      <c r="K52" s="188">
        <v>27859</v>
      </c>
      <c r="L52" s="23" t="s">
        <v>1311</v>
      </c>
      <c r="M52" s="23" t="s">
        <v>6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3">
      <c r="A53" s="176" t="s">
        <v>341</v>
      </c>
      <c r="B53" s="176" t="s">
        <v>342</v>
      </c>
      <c r="C53" s="25">
        <v>2188552110</v>
      </c>
      <c r="D53" s="188">
        <v>27858</v>
      </c>
      <c r="E53" s="23" t="s">
        <v>1312</v>
      </c>
      <c r="F53" s="23" t="s">
        <v>10</v>
      </c>
      <c r="G53" s="188"/>
      <c r="H53" s="176" t="s">
        <v>341</v>
      </c>
      <c r="I53" s="176" t="s">
        <v>342</v>
      </c>
      <c r="J53" s="25">
        <v>2188552110</v>
      </c>
      <c r="K53" s="188">
        <v>27858</v>
      </c>
      <c r="L53" s="23" t="s">
        <v>1312</v>
      </c>
      <c r="M53" s="23" t="s">
        <v>10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3">
      <c r="A54" s="176" t="s">
        <v>343</v>
      </c>
      <c r="B54" s="176" t="s">
        <v>344</v>
      </c>
      <c r="C54" s="25">
        <v>2162238881</v>
      </c>
      <c r="D54" s="188">
        <v>35747</v>
      </c>
      <c r="E54" s="23" t="s">
        <v>1313</v>
      </c>
      <c r="F54" s="23" t="s">
        <v>10</v>
      </c>
      <c r="G54" s="188"/>
      <c r="H54" s="176" t="s">
        <v>343</v>
      </c>
      <c r="I54" s="176" t="s">
        <v>344</v>
      </c>
      <c r="J54" s="25">
        <v>2162238881</v>
      </c>
      <c r="K54" s="188">
        <v>35747</v>
      </c>
      <c r="L54" s="23" t="s">
        <v>1313</v>
      </c>
      <c r="M54" s="23" t="s">
        <v>10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3">
      <c r="A55" s="176" t="s">
        <v>345</v>
      </c>
      <c r="B55" s="176" t="s">
        <v>346</v>
      </c>
      <c r="C55" s="25">
        <v>7145261239</v>
      </c>
      <c r="D55" s="188">
        <v>29671</v>
      </c>
      <c r="E55" s="23" t="s">
        <v>1314</v>
      </c>
      <c r="F55" s="23" t="s">
        <v>6</v>
      </c>
      <c r="G55" s="188"/>
      <c r="H55" s="176" t="s">
        <v>345</v>
      </c>
      <c r="I55" s="176" t="s">
        <v>346</v>
      </c>
      <c r="J55" s="25">
        <v>7145261239</v>
      </c>
      <c r="K55" s="188">
        <v>29671</v>
      </c>
      <c r="L55" s="23" t="s">
        <v>1314</v>
      </c>
      <c r="M55" s="23" t="s">
        <v>6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3">
      <c r="A56" s="176" t="s">
        <v>347</v>
      </c>
      <c r="B56" s="176" t="s">
        <v>348</v>
      </c>
      <c r="C56" s="25">
        <v>6026299247</v>
      </c>
      <c r="D56" s="188">
        <v>35708</v>
      </c>
      <c r="E56" s="23" t="s">
        <v>1315</v>
      </c>
      <c r="F56" s="23" t="s">
        <v>18</v>
      </c>
      <c r="G56" s="188"/>
      <c r="H56" s="176" t="s">
        <v>347</v>
      </c>
      <c r="I56" s="176" t="s">
        <v>348</v>
      </c>
      <c r="J56" s="25">
        <v>6026299247</v>
      </c>
      <c r="K56" s="188">
        <v>35708</v>
      </c>
      <c r="L56" s="23" t="s">
        <v>1315</v>
      </c>
      <c r="M56" s="23" t="s">
        <v>18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3">
      <c r="A57" s="176" t="s">
        <v>248</v>
      </c>
      <c r="B57" s="176" t="s">
        <v>249</v>
      </c>
      <c r="C57" s="25">
        <v>7127936742</v>
      </c>
      <c r="D57" s="188">
        <v>28497</v>
      </c>
      <c r="E57" s="23" t="s">
        <v>1316</v>
      </c>
      <c r="F57" s="23" t="s">
        <v>10</v>
      </c>
      <c r="G57" s="188"/>
      <c r="H57" s="176" t="s">
        <v>248</v>
      </c>
      <c r="I57" s="176" t="s">
        <v>249</v>
      </c>
      <c r="J57" s="25">
        <v>7127936742</v>
      </c>
      <c r="K57" s="188">
        <v>28497</v>
      </c>
      <c r="L57" s="23" t="s">
        <v>1316</v>
      </c>
      <c r="M57" s="23" t="s">
        <v>10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3">
      <c r="A58" s="176" t="s">
        <v>349</v>
      </c>
      <c r="B58" s="176" t="s">
        <v>304</v>
      </c>
      <c r="C58" s="25">
        <v>2151487375</v>
      </c>
      <c r="D58" s="188">
        <v>29369</v>
      </c>
      <c r="E58" s="23" t="s">
        <v>1317</v>
      </c>
      <c r="F58" s="23" t="s">
        <v>18</v>
      </c>
      <c r="G58" s="188"/>
      <c r="H58" s="176" t="s">
        <v>349</v>
      </c>
      <c r="I58" s="176" t="s">
        <v>304</v>
      </c>
      <c r="J58" s="25">
        <v>2151487375</v>
      </c>
      <c r="K58" s="188">
        <v>29369</v>
      </c>
      <c r="L58" s="23" t="s">
        <v>1317</v>
      </c>
      <c r="M58" s="23" t="s">
        <v>18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3">
      <c r="A59" s="176" t="s">
        <v>350</v>
      </c>
      <c r="B59" s="176" t="s">
        <v>351</v>
      </c>
      <c r="C59" s="25">
        <v>2167405629</v>
      </c>
      <c r="D59" s="188">
        <v>29787</v>
      </c>
      <c r="E59" s="23" t="s">
        <v>1318</v>
      </c>
      <c r="F59" s="23" t="s">
        <v>6</v>
      </c>
      <c r="G59" s="188"/>
      <c r="H59" s="176" t="s">
        <v>350</v>
      </c>
      <c r="I59" s="176" t="s">
        <v>351</v>
      </c>
      <c r="J59" s="25">
        <v>2167405629</v>
      </c>
      <c r="K59" s="188">
        <v>29787</v>
      </c>
      <c r="L59" s="23" t="s">
        <v>1318</v>
      </c>
      <c r="M59" s="23" t="s">
        <v>6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3">
      <c r="A60" s="176" t="s">
        <v>352</v>
      </c>
      <c r="B60" s="176" t="s">
        <v>353</v>
      </c>
      <c r="C60" s="25">
        <v>3012924678</v>
      </c>
      <c r="D60" s="188">
        <v>35194</v>
      </c>
      <c r="E60" s="23" t="s">
        <v>1319</v>
      </c>
      <c r="F60" s="23" t="s">
        <v>10</v>
      </c>
      <c r="G60" s="188"/>
      <c r="H60" s="176" t="s">
        <v>352</v>
      </c>
      <c r="I60" s="176" t="s">
        <v>353</v>
      </c>
      <c r="J60" s="25">
        <v>3012924678</v>
      </c>
      <c r="K60" s="188">
        <v>35194</v>
      </c>
      <c r="L60" s="23" t="s">
        <v>1319</v>
      </c>
      <c r="M60" s="23" t="s">
        <v>10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3">
      <c r="A61" s="176" t="s">
        <v>354</v>
      </c>
      <c r="B61" s="176" t="s">
        <v>355</v>
      </c>
      <c r="C61" s="25">
        <v>2156166452</v>
      </c>
      <c r="D61" s="188">
        <v>28025</v>
      </c>
      <c r="E61" s="23" t="s">
        <v>1320</v>
      </c>
      <c r="F61" s="23" t="s">
        <v>10</v>
      </c>
      <c r="G61" s="188"/>
      <c r="H61" s="176" t="s">
        <v>354</v>
      </c>
      <c r="I61" s="176" t="s">
        <v>355</v>
      </c>
      <c r="J61" s="25">
        <v>2156166452</v>
      </c>
      <c r="K61" s="188">
        <v>28025</v>
      </c>
      <c r="L61" s="23" t="s">
        <v>1320</v>
      </c>
      <c r="M61" s="23" t="s">
        <v>10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3">
      <c r="A62" s="176" t="s">
        <v>356</v>
      </c>
      <c r="B62" s="176" t="s">
        <v>357</v>
      </c>
      <c r="C62" s="25">
        <v>6082381391</v>
      </c>
      <c r="D62" s="188">
        <v>27920</v>
      </c>
      <c r="E62" s="23" t="s">
        <v>1321</v>
      </c>
      <c r="F62" s="23" t="s">
        <v>10</v>
      </c>
      <c r="G62" s="188"/>
      <c r="H62" s="176" t="s">
        <v>356</v>
      </c>
      <c r="I62" s="176" t="s">
        <v>357</v>
      </c>
      <c r="J62" s="25">
        <v>6082381391</v>
      </c>
      <c r="K62" s="188">
        <v>27920</v>
      </c>
      <c r="L62" s="23" t="s">
        <v>1321</v>
      </c>
      <c r="M62" s="23" t="s">
        <v>10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3">
      <c r="A63" s="176" t="s">
        <v>358</v>
      </c>
      <c r="B63" s="176" t="s">
        <v>359</v>
      </c>
      <c r="C63" s="25">
        <v>5067474942</v>
      </c>
      <c r="D63" s="188">
        <v>28613</v>
      </c>
      <c r="E63" s="23" t="s">
        <v>1322</v>
      </c>
      <c r="F63" s="23" t="s">
        <v>10</v>
      </c>
      <c r="G63" s="188"/>
      <c r="H63" s="176" t="s">
        <v>358</v>
      </c>
      <c r="I63" s="176" t="s">
        <v>359</v>
      </c>
      <c r="J63" s="25">
        <v>5067474942</v>
      </c>
      <c r="K63" s="188">
        <v>28613</v>
      </c>
      <c r="L63" s="23" t="s">
        <v>1322</v>
      </c>
      <c r="M63" s="23" t="s">
        <v>10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3">
      <c r="A64" s="176" t="s">
        <v>360</v>
      </c>
      <c r="B64" s="176" t="s">
        <v>322</v>
      </c>
      <c r="C64" s="25">
        <v>8125228252</v>
      </c>
      <c r="D64" s="188">
        <v>28933</v>
      </c>
      <c r="E64" s="23" t="s">
        <v>1323</v>
      </c>
      <c r="F64" s="23" t="s">
        <v>10</v>
      </c>
      <c r="G64" s="188"/>
      <c r="H64" s="176" t="s">
        <v>360</v>
      </c>
      <c r="I64" s="176" t="s">
        <v>322</v>
      </c>
      <c r="J64" s="25">
        <v>8125228252</v>
      </c>
      <c r="K64" s="188">
        <v>28933</v>
      </c>
      <c r="L64" s="23" t="s">
        <v>1323</v>
      </c>
      <c r="M64" s="23" t="s">
        <v>10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3">
      <c r="A65" s="176" t="s">
        <v>361</v>
      </c>
      <c r="B65" s="176" t="s">
        <v>348</v>
      </c>
      <c r="C65" s="25">
        <v>3044752921</v>
      </c>
      <c r="D65" s="188">
        <v>29787</v>
      </c>
      <c r="E65" s="23" t="s">
        <v>1324</v>
      </c>
      <c r="F65" s="23" t="s">
        <v>18</v>
      </c>
      <c r="G65" s="188"/>
      <c r="H65" s="176" t="s">
        <v>361</v>
      </c>
      <c r="I65" s="176" t="s">
        <v>348</v>
      </c>
      <c r="J65" s="25">
        <v>3044752921</v>
      </c>
      <c r="K65" s="188">
        <v>29787</v>
      </c>
      <c r="L65" s="23" t="s">
        <v>1324</v>
      </c>
      <c r="M65" s="23" t="s">
        <v>18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3">
      <c r="A66" s="176" t="s">
        <v>362</v>
      </c>
      <c r="B66" s="176" t="s">
        <v>363</v>
      </c>
      <c r="C66" s="25">
        <v>3013089561</v>
      </c>
      <c r="D66" s="188">
        <v>30496</v>
      </c>
      <c r="E66" s="23" t="s">
        <v>1325</v>
      </c>
      <c r="F66" s="23" t="s">
        <v>10</v>
      </c>
      <c r="G66" s="188"/>
      <c r="H66" s="176" t="s">
        <v>362</v>
      </c>
      <c r="I66" s="176" t="s">
        <v>363</v>
      </c>
      <c r="J66" s="25">
        <v>3013089561</v>
      </c>
      <c r="K66" s="188">
        <v>30496</v>
      </c>
      <c r="L66" s="23" t="s">
        <v>1325</v>
      </c>
      <c r="M66" s="23" t="s">
        <v>10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3">
      <c r="A67" s="176" t="s">
        <v>364</v>
      </c>
      <c r="B67" s="176" t="s">
        <v>365</v>
      </c>
      <c r="C67" s="25">
        <v>8177288082</v>
      </c>
      <c r="D67" s="188">
        <v>34693</v>
      </c>
      <c r="E67" s="23" t="s">
        <v>1326</v>
      </c>
      <c r="F67" s="23" t="s">
        <v>6</v>
      </c>
      <c r="G67" s="188"/>
      <c r="H67" s="176" t="s">
        <v>364</v>
      </c>
      <c r="I67" s="176" t="s">
        <v>365</v>
      </c>
      <c r="J67" s="25">
        <v>8177288082</v>
      </c>
      <c r="K67" s="188">
        <v>34693</v>
      </c>
      <c r="L67" s="23" t="s">
        <v>1326</v>
      </c>
      <c r="M67" s="23" t="s">
        <v>6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3">
      <c r="A68" s="176" t="s">
        <v>366</v>
      </c>
      <c r="B68" s="176" t="s">
        <v>367</v>
      </c>
      <c r="C68" s="25">
        <v>6044442142</v>
      </c>
      <c r="D68" s="188">
        <v>29899</v>
      </c>
      <c r="E68" s="23" t="s">
        <v>1327</v>
      </c>
      <c r="F68" s="23" t="s">
        <v>10</v>
      </c>
      <c r="G68" s="188"/>
      <c r="H68" s="176" t="s">
        <v>366</v>
      </c>
      <c r="I68" s="176" t="s">
        <v>367</v>
      </c>
      <c r="J68" s="25">
        <v>6044442142</v>
      </c>
      <c r="K68" s="188">
        <v>29899</v>
      </c>
      <c r="L68" s="23" t="s">
        <v>1327</v>
      </c>
      <c r="M68" s="23" t="s">
        <v>10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3">
      <c r="A69" s="176" t="s">
        <v>179</v>
      </c>
      <c r="B69" s="176" t="s">
        <v>368</v>
      </c>
      <c r="C69" s="25">
        <v>7014589262</v>
      </c>
      <c r="D69" s="188">
        <v>33339</v>
      </c>
      <c r="E69" s="23" t="s">
        <v>1328</v>
      </c>
      <c r="F69" s="23" t="s">
        <v>10</v>
      </c>
      <c r="G69" s="188"/>
      <c r="H69" s="176" t="s">
        <v>179</v>
      </c>
      <c r="I69" s="176" t="s">
        <v>368</v>
      </c>
      <c r="J69" s="25">
        <v>7014589262</v>
      </c>
      <c r="K69" s="188">
        <v>33339</v>
      </c>
      <c r="L69" s="23" t="s">
        <v>1328</v>
      </c>
      <c r="M69" s="23" t="s">
        <v>10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3">
      <c r="A70" s="176" t="s">
        <v>369</v>
      </c>
      <c r="B70" s="176" t="s">
        <v>370</v>
      </c>
      <c r="C70" s="25">
        <v>2021259179</v>
      </c>
      <c r="D70" s="188">
        <v>34836</v>
      </c>
      <c r="E70" s="23" t="s">
        <v>1329</v>
      </c>
      <c r="F70" s="23" t="s">
        <v>6</v>
      </c>
      <c r="G70" s="188"/>
      <c r="H70" s="176" t="s">
        <v>369</v>
      </c>
      <c r="I70" s="176" t="s">
        <v>370</v>
      </c>
      <c r="J70" s="25">
        <v>2021259179</v>
      </c>
      <c r="K70" s="188">
        <v>34836</v>
      </c>
      <c r="L70" s="23" t="s">
        <v>1329</v>
      </c>
      <c r="M70" s="23" t="s">
        <v>6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3">
      <c r="A71" s="176" t="s">
        <v>371</v>
      </c>
      <c r="B71" s="176" t="s">
        <v>372</v>
      </c>
      <c r="C71" s="25">
        <v>3146132408</v>
      </c>
      <c r="D71" s="188">
        <v>30039</v>
      </c>
      <c r="E71" s="23" t="s">
        <v>1330</v>
      </c>
      <c r="F71" s="23" t="s">
        <v>33</v>
      </c>
      <c r="G71" s="188"/>
      <c r="H71" s="176" t="s">
        <v>371</v>
      </c>
      <c r="I71" s="176" t="s">
        <v>372</v>
      </c>
      <c r="J71" s="25">
        <v>3146132408</v>
      </c>
      <c r="K71" s="188">
        <v>30039</v>
      </c>
      <c r="L71" s="23" t="s">
        <v>1330</v>
      </c>
      <c r="M71" s="23" t="s">
        <v>33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3">
      <c r="A72" s="176" t="s">
        <v>373</v>
      </c>
      <c r="B72" s="176" t="s">
        <v>374</v>
      </c>
      <c r="C72" s="25">
        <v>9021267946</v>
      </c>
      <c r="D72" s="188">
        <v>29379</v>
      </c>
      <c r="E72" s="23" t="s">
        <v>1331</v>
      </c>
      <c r="F72" s="23" t="s">
        <v>6</v>
      </c>
      <c r="G72" s="188"/>
      <c r="H72" s="176" t="s">
        <v>373</v>
      </c>
      <c r="I72" s="176" t="s">
        <v>374</v>
      </c>
      <c r="J72" s="25">
        <v>9021267946</v>
      </c>
      <c r="K72" s="188">
        <v>29379</v>
      </c>
      <c r="L72" s="23" t="s">
        <v>1331</v>
      </c>
      <c r="M72" s="23" t="s">
        <v>6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3">
      <c r="A73" s="176" t="s">
        <v>375</v>
      </c>
      <c r="B73" s="176" t="s">
        <v>376</v>
      </c>
      <c r="C73" s="25">
        <v>9197528456</v>
      </c>
      <c r="D73" s="188">
        <v>35625</v>
      </c>
      <c r="E73" s="23" t="s">
        <v>1332</v>
      </c>
      <c r="F73" s="23" t="s">
        <v>10</v>
      </c>
      <c r="G73" s="188"/>
      <c r="H73" s="176" t="s">
        <v>375</v>
      </c>
      <c r="I73" s="176" t="s">
        <v>376</v>
      </c>
      <c r="J73" s="25">
        <v>9197528456</v>
      </c>
      <c r="K73" s="188">
        <v>35625</v>
      </c>
      <c r="L73" s="23" t="s">
        <v>1332</v>
      </c>
      <c r="M73" s="23" t="s">
        <v>10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3">
      <c r="A74" s="176" t="s">
        <v>377</v>
      </c>
      <c r="B74" s="176" t="s">
        <v>378</v>
      </c>
      <c r="C74" s="25">
        <v>4061664940</v>
      </c>
      <c r="D74" s="188">
        <v>29487</v>
      </c>
      <c r="E74" s="23" t="s">
        <v>1333</v>
      </c>
      <c r="F74" s="23" t="s">
        <v>6</v>
      </c>
      <c r="G74" s="188"/>
      <c r="H74" s="176" t="s">
        <v>377</v>
      </c>
      <c r="I74" s="176" t="s">
        <v>378</v>
      </c>
      <c r="J74" s="25">
        <v>4061664940</v>
      </c>
      <c r="K74" s="188">
        <v>29487</v>
      </c>
      <c r="L74" s="23" t="s">
        <v>1333</v>
      </c>
      <c r="M74" s="23" t="s">
        <v>6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3">
      <c r="A75" s="176" t="s">
        <v>379</v>
      </c>
      <c r="B75" s="176" t="s">
        <v>380</v>
      </c>
      <c r="C75" s="25">
        <v>7166049607</v>
      </c>
      <c r="D75" s="188">
        <v>28537</v>
      </c>
      <c r="E75" s="23" t="s">
        <v>1334</v>
      </c>
      <c r="F75" s="23" t="s">
        <v>18</v>
      </c>
      <c r="G75" s="188"/>
      <c r="H75" s="176" t="s">
        <v>379</v>
      </c>
      <c r="I75" s="176" t="s">
        <v>380</v>
      </c>
      <c r="J75" s="25">
        <v>7166049607</v>
      </c>
      <c r="K75" s="188">
        <v>28537</v>
      </c>
      <c r="L75" s="23" t="s">
        <v>1334</v>
      </c>
      <c r="M75" s="23" t="s">
        <v>18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3">
      <c r="A76" s="176" t="s">
        <v>381</v>
      </c>
      <c r="B76" s="176" t="s">
        <v>310</v>
      </c>
      <c r="C76" s="25">
        <v>7021299076</v>
      </c>
      <c r="D76" s="188">
        <v>30367</v>
      </c>
      <c r="E76" s="23" t="s">
        <v>1335</v>
      </c>
      <c r="F76" s="23" t="s">
        <v>10</v>
      </c>
      <c r="G76" s="188"/>
      <c r="H76" s="176" t="s">
        <v>381</v>
      </c>
      <c r="I76" s="176" t="s">
        <v>310</v>
      </c>
      <c r="J76" s="25">
        <v>7021299076</v>
      </c>
      <c r="K76" s="188">
        <v>30367</v>
      </c>
      <c r="L76" s="23" t="s">
        <v>1335</v>
      </c>
      <c r="M76" s="23" t="s">
        <v>10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3">
      <c r="A77" s="176" t="s">
        <v>382</v>
      </c>
      <c r="B77" s="176" t="s">
        <v>322</v>
      </c>
      <c r="C77" s="25">
        <v>6047451745</v>
      </c>
      <c r="D77" s="188">
        <v>31933</v>
      </c>
      <c r="E77" s="23" t="s">
        <v>1336</v>
      </c>
      <c r="F77" s="23" t="s">
        <v>18</v>
      </c>
      <c r="G77" s="188"/>
      <c r="H77" s="176" t="s">
        <v>382</v>
      </c>
      <c r="I77" s="176" t="s">
        <v>322</v>
      </c>
      <c r="J77" s="25">
        <v>6047451745</v>
      </c>
      <c r="K77" s="188">
        <v>31933</v>
      </c>
      <c r="L77" s="23" t="s">
        <v>1336</v>
      </c>
      <c r="M77" s="23" t="s">
        <v>18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3">
      <c r="A78" s="176" t="s">
        <v>383</v>
      </c>
      <c r="B78" s="176" t="s">
        <v>342</v>
      </c>
      <c r="C78" s="25">
        <v>9012453666</v>
      </c>
      <c r="D78" s="188">
        <v>32417</v>
      </c>
      <c r="E78" s="23" t="s">
        <v>1337</v>
      </c>
      <c r="F78" s="23" t="s">
        <v>18</v>
      </c>
      <c r="G78" s="188"/>
      <c r="H78" s="176" t="s">
        <v>383</v>
      </c>
      <c r="I78" s="176" t="s">
        <v>342</v>
      </c>
      <c r="J78" s="25">
        <v>9012453666</v>
      </c>
      <c r="K78" s="188">
        <v>32417</v>
      </c>
      <c r="L78" s="23" t="s">
        <v>1337</v>
      </c>
      <c r="M78" s="23" t="s">
        <v>18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3">
      <c r="A79" s="176" t="s">
        <v>384</v>
      </c>
      <c r="B79" s="176" t="s">
        <v>385</v>
      </c>
      <c r="C79" s="25">
        <v>4097429525</v>
      </c>
      <c r="D79" s="188">
        <v>32648</v>
      </c>
      <c r="E79" s="23" t="s">
        <v>1338</v>
      </c>
      <c r="F79" s="23" t="s">
        <v>10</v>
      </c>
      <c r="G79" s="188"/>
      <c r="H79" s="176" t="s">
        <v>384</v>
      </c>
      <c r="I79" s="176" t="s">
        <v>385</v>
      </c>
      <c r="J79" s="25">
        <v>4097429525</v>
      </c>
      <c r="K79" s="188">
        <v>32648</v>
      </c>
      <c r="L79" s="23" t="s">
        <v>1338</v>
      </c>
      <c r="M79" s="23" t="s">
        <v>10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3">
      <c r="A80" s="176" t="s">
        <v>386</v>
      </c>
      <c r="B80" s="176" t="s">
        <v>387</v>
      </c>
      <c r="C80" s="25">
        <v>5113355152</v>
      </c>
      <c r="D80" s="188">
        <v>32663</v>
      </c>
      <c r="E80" s="23" t="s">
        <v>1339</v>
      </c>
      <c r="F80" s="23" t="s">
        <v>10</v>
      </c>
      <c r="G80" s="188"/>
      <c r="H80" s="176" t="s">
        <v>386</v>
      </c>
      <c r="I80" s="176" t="s">
        <v>387</v>
      </c>
      <c r="J80" s="25">
        <v>5113355152</v>
      </c>
      <c r="K80" s="188">
        <v>32663</v>
      </c>
      <c r="L80" s="23" t="s">
        <v>1339</v>
      </c>
      <c r="M80" s="23" t="s">
        <v>10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3">
      <c r="A81" s="176" t="s">
        <v>388</v>
      </c>
      <c r="B81" s="176" t="s">
        <v>389</v>
      </c>
      <c r="C81" s="25">
        <v>7114854867</v>
      </c>
      <c r="D81" s="188">
        <v>32789</v>
      </c>
      <c r="E81" s="23" t="s">
        <v>1340</v>
      </c>
      <c r="F81" s="23" t="s">
        <v>6</v>
      </c>
      <c r="G81" s="188"/>
      <c r="H81" s="176" t="s">
        <v>388</v>
      </c>
      <c r="I81" s="176" t="s">
        <v>389</v>
      </c>
      <c r="J81" s="25">
        <v>7114854867</v>
      </c>
      <c r="K81" s="188">
        <v>32789</v>
      </c>
      <c r="L81" s="23" t="s">
        <v>1340</v>
      </c>
      <c r="M81" s="23" t="s">
        <v>6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3">
      <c r="A82" s="176" t="s">
        <v>390</v>
      </c>
      <c r="B82" s="176" t="s">
        <v>391</v>
      </c>
      <c r="C82" s="25">
        <v>7044411859</v>
      </c>
      <c r="D82" s="188">
        <v>32694</v>
      </c>
      <c r="E82" s="23" t="s">
        <v>1341</v>
      </c>
      <c r="F82" s="23" t="s">
        <v>6</v>
      </c>
      <c r="G82" s="188"/>
      <c r="H82" s="176" t="s">
        <v>390</v>
      </c>
      <c r="I82" s="176" t="s">
        <v>391</v>
      </c>
      <c r="J82" s="25">
        <v>7044411859</v>
      </c>
      <c r="K82" s="188">
        <v>32694</v>
      </c>
      <c r="L82" s="23" t="s">
        <v>1341</v>
      </c>
      <c r="M82" s="23" t="s">
        <v>6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3">
      <c r="A83" s="176" t="s">
        <v>392</v>
      </c>
      <c r="B83" s="176" t="s">
        <v>393</v>
      </c>
      <c r="C83" s="25">
        <v>2116466230</v>
      </c>
      <c r="D83" s="188">
        <v>27859</v>
      </c>
      <c r="E83" s="23" t="s">
        <v>1342</v>
      </c>
      <c r="F83" s="23" t="s">
        <v>10</v>
      </c>
      <c r="G83" s="188"/>
      <c r="H83" s="176" t="s">
        <v>392</v>
      </c>
      <c r="I83" s="176" t="s">
        <v>393</v>
      </c>
      <c r="J83" s="25">
        <v>2116466230</v>
      </c>
      <c r="K83" s="188">
        <v>27859</v>
      </c>
      <c r="L83" s="23" t="s">
        <v>1342</v>
      </c>
      <c r="M83" s="23" t="s">
        <v>10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3">
      <c r="A84" s="176" t="s">
        <v>394</v>
      </c>
      <c r="B84" s="176" t="s">
        <v>395</v>
      </c>
      <c r="C84" s="25">
        <v>9136168483</v>
      </c>
      <c r="D84" s="188">
        <v>27858</v>
      </c>
      <c r="E84" s="23" t="s">
        <v>1343</v>
      </c>
      <c r="F84" s="23" t="s">
        <v>33</v>
      </c>
      <c r="G84" s="188"/>
      <c r="H84" s="176" t="s">
        <v>394</v>
      </c>
      <c r="I84" s="176" t="s">
        <v>395</v>
      </c>
      <c r="J84" s="25">
        <v>9136168483</v>
      </c>
      <c r="K84" s="188">
        <v>27858</v>
      </c>
      <c r="L84" s="23" t="s">
        <v>1343</v>
      </c>
      <c r="M84" s="23" t="s">
        <v>33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3">
      <c r="A85" s="176" t="s">
        <v>396</v>
      </c>
      <c r="B85" s="176" t="s">
        <v>397</v>
      </c>
      <c r="C85" s="25">
        <v>3012005810</v>
      </c>
      <c r="D85" s="188">
        <v>35747</v>
      </c>
      <c r="E85" s="23" t="s">
        <v>1344</v>
      </c>
      <c r="F85" s="23" t="s">
        <v>10</v>
      </c>
      <c r="G85" s="188"/>
      <c r="H85" s="176" t="s">
        <v>396</v>
      </c>
      <c r="I85" s="176" t="s">
        <v>397</v>
      </c>
      <c r="J85" s="25">
        <v>3012005810</v>
      </c>
      <c r="K85" s="188">
        <v>35747</v>
      </c>
      <c r="L85" s="23" t="s">
        <v>1344</v>
      </c>
      <c r="M85" s="23" t="s">
        <v>10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3">
      <c r="A86" s="176" t="s">
        <v>398</v>
      </c>
      <c r="B86" s="176" t="s">
        <v>399</v>
      </c>
      <c r="C86" s="25">
        <v>4134100997</v>
      </c>
      <c r="D86" s="188">
        <v>29671</v>
      </c>
      <c r="E86" s="23" t="s">
        <v>1345</v>
      </c>
      <c r="F86" s="23" t="s">
        <v>10</v>
      </c>
      <c r="G86" s="188"/>
      <c r="H86" s="176" t="s">
        <v>398</v>
      </c>
      <c r="I86" s="176" t="s">
        <v>399</v>
      </c>
      <c r="J86" s="25">
        <v>4134100997</v>
      </c>
      <c r="K86" s="188">
        <v>29671</v>
      </c>
      <c r="L86" s="23" t="s">
        <v>1345</v>
      </c>
      <c r="M86" s="23" t="s">
        <v>10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3">
      <c r="A87" s="176" t="s">
        <v>400</v>
      </c>
      <c r="B87" s="176" t="s">
        <v>401</v>
      </c>
      <c r="C87" s="25">
        <v>3135520461</v>
      </c>
      <c r="D87" s="188">
        <v>35708</v>
      </c>
      <c r="E87" s="23" t="s">
        <v>1346</v>
      </c>
      <c r="F87" s="23" t="s">
        <v>10</v>
      </c>
      <c r="G87" s="188"/>
      <c r="H87" s="176" t="s">
        <v>400</v>
      </c>
      <c r="I87" s="176" t="s">
        <v>401</v>
      </c>
      <c r="J87" s="25">
        <v>3135520461</v>
      </c>
      <c r="K87" s="188">
        <v>35708</v>
      </c>
      <c r="L87" s="23" t="s">
        <v>1346</v>
      </c>
      <c r="M87" s="23" t="s">
        <v>10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3">
      <c r="A88" s="176" t="s">
        <v>402</v>
      </c>
      <c r="B88" s="176" t="s">
        <v>403</v>
      </c>
      <c r="C88" s="25">
        <v>5043373445</v>
      </c>
      <c r="D88" s="188">
        <v>28497</v>
      </c>
      <c r="E88" s="23" t="s">
        <v>1347</v>
      </c>
      <c r="F88" s="23" t="s">
        <v>10</v>
      </c>
      <c r="G88" s="188"/>
      <c r="H88" s="176" t="s">
        <v>402</v>
      </c>
      <c r="I88" s="176" t="s">
        <v>403</v>
      </c>
      <c r="J88" s="25">
        <v>5043373445</v>
      </c>
      <c r="K88" s="188">
        <v>28497</v>
      </c>
      <c r="L88" s="23" t="s">
        <v>1347</v>
      </c>
      <c r="M88" s="23" t="s">
        <v>10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3">
      <c r="A89" s="176" t="s">
        <v>404</v>
      </c>
      <c r="B89" s="176" t="s">
        <v>405</v>
      </c>
      <c r="C89" s="25">
        <v>7162042331</v>
      </c>
      <c r="D89" s="188">
        <v>29369</v>
      </c>
      <c r="E89" s="23" t="s">
        <v>1348</v>
      </c>
      <c r="F89" s="23" t="s">
        <v>6</v>
      </c>
      <c r="G89" s="188"/>
      <c r="H89" s="176" t="s">
        <v>404</v>
      </c>
      <c r="I89" s="176" t="s">
        <v>405</v>
      </c>
      <c r="J89" s="25">
        <v>7162042331</v>
      </c>
      <c r="K89" s="188">
        <v>29369</v>
      </c>
      <c r="L89" s="23" t="s">
        <v>1348</v>
      </c>
      <c r="M89" s="23" t="s">
        <v>6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3">
      <c r="A90" s="176" t="s">
        <v>406</v>
      </c>
      <c r="B90" s="176" t="s">
        <v>342</v>
      </c>
      <c r="C90" s="25">
        <v>6188405900</v>
      </c>
      <c r="D90" s="188">
        <v>29787</v>
      </c>
      <c r="E90" s="23" t="s">
        <v>1349</v>
      </c>
      <c r="F90" s="23" t="s">
        <v>18</v>
      </c>
      <c r="G90" s="188"/>
      <c r="H90" s="176" t="s">
        <v>406</v>
      </c>
      <c r="I90" s="176" t="s">
        <v>342</v>
      </c>
      <c r="J90" s="25">
        <v>6188405900</v>
      </c>
      <c r="K90" s="188">
        <v>29787</v>
      </c>
      <c r="L90" s="23" t="s">
        <v>1349</v>
      </c>
      <c r="M90" s="23" t="s">
        <v>18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3">
      <c r="A91" s="176" t="s">
        <v>407</v>
      </c>
      <c r="B91" s="176" t="s">
        <v>408</v>
      </c>
      <c r="C91" s="25">
        <v>7148502926</v>
      </c>
      <c r="D91" s="188">
        <v>35194</v>
      </c>
      <c r="E91" s="23" t="s">
        <v>1350</v>
      </c>
      <c r="F91" s="23" t="s">
        <v>10</v>
      </c>
      <c r="G91" s="188"/>
      <c r="H91" s="176" t="s">
        <v>407</v>
      </c>
      <c r="I91" s="176" t="s">
        <v>408</v>
      </c>
      <c r="J91" s="25">
        <v>7148502926</v>
      </c>
      <c r="K91" s="188">
        <v>35194</v>
      </c>
      <c r="L91" s="23" t="s">
        <v>1350</v>
      </c>
      <c r="M91" s="23" t="s">
        <v>10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3">
      <c r="A92" s="176" t="s">
        <v>263</v>
      </c>
      <c r="B92" s="176" t="s">
        <v>264</v>
      </c>
      <c r="C92" s="25">
        <v>7074402150</v>
      </c>
      <c r="D92" s="188">
        <v>28025</v>
      </c>
      <c r="E92" s="23" t="s">
        <v>1351</v>
      </c>
      <c r="F92" s="23" t="s">
        <v>10</v>
      </c>
      <c r="G92" s="188"/>
      <c r="H92" s="176" t="s">
        <v>263</v>
      </c>
      <c r="I92" s="176" t="s">
        <v>264</v>
      </c>
      <c r="J92" s="25">
        <v>7074402150</v>
      </c>
      <c r="K92" s="188">
        <v>28025</v>
      </c>
      <c r="L92" s="23" t="s">
        <v>1351</v>
      </c>
      <c r="M92" s="23" t="s">
        <v>10</v>
      </c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3">
      <c r="A93" s="176" t="s">
        <v>263</v>
      </c>
      <c r="B93" s="176" t="s">
        <v>409</v>
      </c>
      <c r="C93" s="25">
        <v>3042350434</v>
      </c>
      <c r="D93" s="188">
        <v>27920</v>
      </c>
      <c r="E93" s="23" t="s">
        <v>1352</v>
      </c>
      <c r="F93" s="23" t="s">
        <v>6</v>
      </c>
      <c r="G93" s="188"/>
      <c r="H93" s="176" t="s">
        <v>263</v>
      </c>
      <c r="I93" s="176" t="s">
        <v>409</v>
      </c>
      <c r="J93" s="25">
        <v>3042350434</v>
      </c>
      <c r="K93" s="188">
        <v>27920</v>
      </c>
      <c r="L93" s="23" t="s">
        <v>1352</v>
      </c>
      <c r="M93" s="23" t="s">
        <v>6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3">
      <c r="A94" s="176" t="s">
        <v>410</v>
      </c>
      <c r="B94" s="176" t="s">
        <v>411</v>
      </c>
      <c r="C94" s="25">
        <v>8062094386</v>
      </c>
      <c r="D94" s="188">
        <v>28613</v>
      </c>
      <c r="E94" s="23" t="s">
        <v>1353</v>
      </c>
      <c r="F94" s="23" t="s">
        <v>10</v>
      </c>
      <c r="G94" s="188"/>
      <c r="H94" s="176" t="s">
        <v>410</v>
      </c>
      <c r="I94" s="176" t="s">
        <v>411</v>
      </c>
      <c r="J94" s="25">
        <v>8062094386</v>
      </c>
      <c r="K94" s="188">
        <v>28613</v>
      </c>
      <c r="L94" s="23" t="s">
        <v>1353</v>
      </c>
      <c r="M94" s="23" t="s">
        <v>10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3">
      <c r="A95" s="176" t="s">
        <v>412</v>
      </c>
      <c r="B95" s="176" t="s">
        <v>413</v>
      </c>
      <c r="C95" s="25">
        <v>8085012757</v>
      </c>
      <c r="D95" s="188">
        <v>28933</v>
      </c>
      <c r="E95" s="23" t="s">
        <v>1354</v>
      </c>
      <c r="F95" s="23" t="s">
        <v>33</v>
      </c>
      <c r="G95" s="188"/>
      <c r="H95" s="176" t="s">
        <v>412</v>
      </c>
      <c r="I95" s="176" t="s">
        <v>413</v>
      </c>
      <c r="J95" s="25">
        <v>8085012757</v>
      </c>
      <c r="K95" s="188">
        <v>28933</v>
      </c>
      <c r="L95" s="23" t="s">
        <v>1354</v>
      </c>
      <c r="M95" s="23" t="s">
        <v>33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3">
      <c r="A96" s="176" t="s">
        <v>414</v>
      </c>
      <c r="B96" s="176" t="s">
        <v>288</v>
      </c>
      <c r="C96" s="25">
        <v>6135344270</v>
      </c>
      <c r="D96" s="188">
        <v>29787</v>
      </c>
      <c r="E96" s="23" t="s">
        <v>1355</v>
      </c>
      <c r="F96" s="23" t="s">
        <v>18</v>
      </c>
      <c r="G96" s="188"/>
      <c r="H96" s="176" t="s">
        <v>414</v>
      </c>
      <c r="I96" s="176" t="s">
        <v>288</v>
      </c>
      <c r="J96" s="25">
        <v>6135344270</v>
      </c>
      <c r="K96" s="188">
        <v>29787</v>
      </c>
      <c r="L96" s="23" t="s">
        <v>1355</v>
      </c>
      <c r="M96" s="23" t="s">
        <v>18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3">
      <c r="A97" s="176" t="s">
        <v>415</v>
      </c>
      <c r="B97" s="176" t="s">
        <v>304</v>
      </c>
      <c r="C97" s="25">
        <v>7117362525</v>
      </c>
      <c r="D97" s="188">
        <v>30496</v>
      </c>
      <c r="E97" s="23" t="s">
        <v>1356</v>
      </c>
      <c r="F97" s="23" t="s">
        <v>6</v>
      </c>
      <c r="G97" s="188"/>
      <c r="H97" s="176" t="s">
        <v>415</v>
      </c>
      <c r="I97" s="176" t="s">
        <v>304</v>
      </c>
      <c r="J97" s="25">
        <v>7117362525</v>
      </c>
      <c r="K97" s="188">
        <v>30496</v>
      </c>
      <c r="L97" s="23" t="s">
        <v>1356</v>
      </c>
      <c r="M97" s="23" t="s">
        <v>6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3">
      <c r="A98" s="176" t="s">
        <v>416</v>
      </c>
      <c r="B98" s="176" t="s">
        <v>417</v>
      </c>
      <c r="C98" s="25">
        <v>6116213620</v>
      </c>
      <c r="D98" s="188">
        <v>34693</v>
      </c>
      <c r="E98" s="23" t="s">
        <v>1357</v>
      </c>
      <c r="F98" s="23" t="s">
        <v>6</v>
      </c>
      <c r="G98" s="188"/>
      <c r="H98" s="176" t="s">
        <v>416</v>
      </c>
      <c r="I98" s="176" t="s">
        <v>417</v>
      </c>
      <c r="J98" s="25">
        <v>6116213620</v>
      </c>
      <c r="K98" s="188">
        <v>34693</v>
      </c>
      <c r="L98" s="23" t="s">
        <v>1357</v>
      </c>
      <c r="M98" s="23" t="s">
        <v>6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</row>
    <row r="99" spans="1:31" ht="26.4" x14ac:dyDescent="0.3">
      <c r="A99" s="176" t="s">
        <v>418</v>
      </c>
      <c r="B99" s="176" t="s">
        <v>419</v>
      </c>
      <c r="C99" s="25">
        <v>3042780847</v>
      </c>
      <c r="D99" s="188">
        <v>29899</v>
      </c>
      <c r="E99" s="23" t="s">
        <v>1358</v>
      </c>
      <c r="F99" s="23" t="s">
        <v>18</v>
      </c>
      <c r="G99" s="188"/>
      <c r="H99" s="176" t="s">
        <v>418</v>
      </c>
      <c r="I99" s="176" t="s">
        <v>419</v>
      </c>
      <c r="J99" s="25">
        <v>3042780847</v>
      </c>
      <c r="K99" s="188">
        <v>29899</v>
      </c>
      <c r="L99" s="23" t="s">
        <v>1358</v>
      </c>
      <c r="M99" s="23" t="s">
        <v>18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</row>
    <row r="100" spans="1:31" x14ac:dyDescent="0.3">
      <c r="A100" s="176" t="s">
        <v>420</v>
      </c>
      <c r="B100" s="176" t="s">
        <v>421</v>
      </c>
      <c r="C100" s="25">
        <v>8052921836</v>
      </c>
      <c r="D100" s="188">
        <v>33339</v>
      </c>
      <c r="E100" s="23" t="s">
        <v>1359</v>
      </c>
      <c r="F100" s="23" t="s">
        <v>10</v>
      </c>
      <c r="G100" s="188"/>
      <c r="H100" s="176" t="s">
        <v>420</v>
      </c>
      <c r="I100" s="176" t="s">
        <v>421</v>
      </c>
      <c r="J100" s="25">
        <v>8052921836</v>
      </c>
      <c r="K100" s="188">
        <v>33339</v>
      </c>
      <c r="L100" s="23" t="s">
        <v>1359</v>
      </c>
      <c r="M100" s="23" t="s">
        <v>10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  <row r="101" spans="1:31" x14ac:dyDescent="0.3">
      <c r="A101" s="176" t="s">
        <v>422</v>
      </c>
      <c r="B101" s="176" t="s">
        <v>423</v>
      </c>
      <c r="C101" s="25">
        <v>3182869792</v>
      </c>
      <c r="D101" s="188">
        <v>34836</v>
      </c>
      <c r="E101" s="23" t="s">
        <v>1360</v>
      </c>
      <c r="F101" s="23" t="s">
        <v>10</v>
      </c>
      <c r="G101" s="188"/>
      <c r="H101" s="176" t="s">
        <v>422</v>
      </c>
      <c r="I101" s="176" t="s">
        <v>423</v>
      </c>
      <c r="J101" s="25">
        <v>3182869792</v>
      </c>
      <c r="K101" s="188">
        <v>34836</v>
      </c>
      <c r="L101" s="23" t="s">
        <v>1360</v>
      </c>
      <c r="M101" s="23" t="s">
        <v>10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</row>
    <row r="102" spans="1:31" x14ac:dyDescent="0.3">
      <c r="A102" s="176" t="s">
        <v>424</v>
      </c>
      <c r="B102" s="176" t="s">
        <v>353</v>
      </c>
      <c r="C102" s="25">
        <v>7093482736</v>
      </c>
      <c r="D102" s="188">
        <v>30039</v>
      </c>
      <c r="E102" s="23" t="s">
        <v>1361</v>
      </c>
      <c r="F102" s="23" t="s">
        <v>6</v>
      </c>
      <c r="G102" s="188"/>
      <c r="H102" s="176" t="s">
        <v>424</v>
      </c>
      <c r="I102" s="176" t="s">
        <v>353</v>
      </c>
      <c r="J102" s="25">
        <v>7093482736</v>
      </c>
      <c r="K102" s="188">
        <v>30039</v>
      </c>
      <c r="L102" s="23" t="s">
        <v>1361</v>
      </c>
      <c r="M102" s="23" t="s">
        <v>6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</row>
    <row r="103" spans="1:31" x14ac:dyDescent="0.3">
      <c r="A103" s="176" t="s">
        <v>425</v>
      </c>
      <c r="B103" s="176" t="s">
        <v>423</v>
      </c>
      <c r="C103" s="25">
        <v>3156408497</v>
      </c>
      <c r="D103" s="188">
        <v>29379</v>
      </c>
      <c r="E103" s="23" t="s">
        <v>1362</v>
      </c>
      <c r="F103" s="23" t="s">
        <v>6</v>
      </c>
      <c r="G103" s="188"/>
      <c r="H103" s="176" t="s">
        <v>425</v>
      </c>
      <c r="I103" s="176" t="s">
        <v>423</v>
      </c>
      <c r="J103" s="25">
        <v>3156408497</v>
      </c>
      <c r="K103" s="188">
        <v>29379</v>
      </c>
      <c r="L103" s="23" t="s">
        <v>1362</v>
      </c>
      <c r="M103" s="23" t="s">
        <v>6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</row>
    <row r="104" spans="1:31" x14ac:dyDescent="0.3">
      <c r="A104" s="176" t="s">
        <v>426</v>
      </c>
      <c r="B104" s="176" t="s">
        <v>427</v>
      </c>
      <c r="C104" s="25">
        <v>6145617115</v>
      </c>
      <c r="D104" s="188">
        <v>35625</v>
      </c>
      <c r="E104" s="23" t="s">
        <v>1363</v>
      </c>
      <c r="F104" s="23" t="s">
        <v>33</v>
      </c>
      <c r="G104" s="188"/>
      <c r="H104" s="176" t="s">
        <v>426</v>
      </c>
      <c r="I104" s="176" t="s">
        <v>427</v>
      </c>
      <c r="J104" s="25">
        <v>6145617115</v>
      </c>
      <c r="K104" s="188">
        <v>35625</v>
      </c>
      <c r="L104" s="23" t="s">
        <v>1363</v>
      </c>
      <c r="M104" s="23" t="s">
        <v>33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</row>
    <row r="105" spans="1:31" x14ac:dyDescent="0.3">
      <c r="A105" s="176" t="s">
        <v>428</v>
      </c>
      <c r="B105" s="176" t="s">
        <v>429</v>
      </c>
      <c r="C105" s="25">
        <v>8072913490</v>
      </c>
      <c r="D105" s="188">
        <v>29487</v>
      </c>
      <c r="E105" s="23" t="s">
        <v>1364</v>
      </c>
      <c r="F105" s="23" t="s">
        <v>18</v>
      </c>
      <c r="G105" s="188"/>
      <c r="H105" s="176" t="s">
        <v>428</v>
      </c>
      <c r="I105" s="176" t="s">
        <v>429</v>
      </c>
      <c r="J105" s="25">
        <v>8072913490</v>
      </c>
      <c r="K105" s="188">
        <v>29487</v>
      </c>
      <c r="L105" s="23" t="s">
        <v>1364</v>
      </c>
      <c r="M105" s="23" t="s">
        <v>18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</row>
    <row r="106" spans="1:31" x14ac:dyDescent="0.3">
      <c r="A106" s="176" t="s">
        <v>430</v>
      </c>
      <c r="B106" s="176" t="s">
        <v>431</v>
      </c>
      <c r="C106" s="25">
        <v>7027508998</v>
      </c>
      <c r="D106" s="188">
        <v>28537</v>
      </c>
      <c r="E106" s="23" t="s">
        <v>1365</v>
      </c>
      <c r="F106" s="23" t="s">
        <v>10</v>
      </c>
      <c r="G106" s="188"/>
      <c r="H106" s="176" t="s">
        <v>430</v>
      </c>
      <c r="I106" s="176" t="s">
        <v>431</v>
      </c>
      <c r="J106" s="25">
        <v>7027508998</v>
      </c>
      <c r="K106" s="188">
        <v>28537</v>
      </c>
      <c r="L106" s="23" t="s">
        <v>1365</v>
      </c>
      <c r="M106" s="23" t="s">
        <v>10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</row>
    <row r="107" spans="1:31" x14ac:dyDescent="0.3">
      <c r="A107" s="176" t="s">
        <v>432</v>
      </c>
      <c r="B107" s="176" t="s">
        <v>387</v>
      </c>
      <c r="C107" s="25">
        <v>4161397811</v>
      </c>
      <c r="D107" s="188">
        <v>30367</v>
      </c>
      <c r="E107" s="23" t="s">
        <v>1366</v>
      </c>
      <c r="F107" s="23" t="s">
        <v>33</v>
      </c>
      <c r="G107" s="188"/>
      <c r="H107" s="176" t="s">
        <v>432</v>
      </c>
      <c r="I107" s="176" t="s">
        <v>387</v>
      </c>
      <c r="J107" s="25">
        <v>4161397811</v>
      </c>
      <c r="K107" s="188">
        <v>30367</v>
      </c>
      <c r="L107" s="23" t="s">
        <v>1366</v>
      </c>
      <c r="M107" s="23" t="s">
        <v>33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</row>
    <row r="108" spans="1:31" x14ac:dyDescent="0.3">
      <c r="A108" s="176" t="s">
        <v>433</v>
      </c>
      <c r="B108" s="176" t="s">
        <v>434</v>
      </c>
      <c r="C108" s="25">
        <v>4165511103</v>
      </c>
      <c r="D108" s="188">
        <v>31933</v>
      </c>
      <c r="E108" s="23" t="s">
        <v>1367</v>
      </c>
      <c r="F108" s="23" t="s">
        <v>18</v>
      </c>
      <c r="G108" s="188"/>
      <c r="H108" s="176" t="s">
        <v>433</v>
      </c>
      <c r="I108" s="176" t="s">
        <v>434</v>
      </c>
      <c r="J108" s="25">
        <v>4165511103</v>
      </c>
      <c r="K108" s="188">
        <v>31933</v>
      </c>
      <c r="L108" s="23" t="s">
        <v>1367</v>
      </c>
      <c r="M108" s="23" t="s">
        <v>18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</row>
    <row r="109" spans="1:31" x14ac:dyDescent="0.3">
      <c r="A109" s="176" t="s">
        <v>435</v>
      </c>
      <c r="B109" s="176" t="s">
        <v>436</v>
      </c>
      <c r="C109" s="25">
        <v>6171280865</v>
      </c>
      <c r="D109" s="188">
        <v>32417</v>
      </c>
      <c r="E109" s="23" t="s">
        <v>1368</v>
      </c>
      <c r="F109" s="23" t="s">
        <v>6</v>
      </c>
      <c r="G109" s="188"/>
      <c r="H109" s="176" t="s">
        <v>435</v>
      </c>
      <c r="I109" s="176" t="s">
        <v>436</v>
      </c>
      <c r="J109" s="25">
        <v>6171280865</v>
      </c>
      <c r="K109" s="188">
        <v>32417</v>
      </c>
      <c r="L109" s="23" t="s">
        <v>1368</v>
      </c>
      <c r="M109" s="23" t="s">
        <v>6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</row>
    <row r="110" spans="1:31" x14ac:dyDescent="0.3">
      <c r="A110" s="176" t="s">
        <v>437</v>
      </c>
      <c r="B110" s="176" t="s">
        <v>438</v>
      </c>
      <c r="C110" s="25">
        <v>5161620909</v>
      </c>
      <c r="D110" s="188">
        <v>32648</v>
      </c>
      <c r="E110" s="23" t="s">
        <v>1369</v>
      </c>
      <c r="F110" s="23" t="s">
        <v>10</v>
      </c>
      <c r="G110" s="188"/>
      <c r="H110" s="176" t="s">
        <v>437</v>
      </c>
      <c r="I110" s="176" t="s">
        <v>438</v>
      </c>
      <c r="J110" s="25">
        <v>5161620909</v>
      </c>
      <c r="K110" s="188">
        <v>32648</v>
      </c>
      <c r="L110" s="23" t="s">
        <v>1369</v>
      </c>
      <c r="M110" s="23" t="s">
        <v>10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</row>
    <row r="111" spans="1:31" x14ac:dyDescent="0.3">
      <c r="A111" s="176" t="s">
        <v>439</v>
      </c>
      <c r="B111" s="176" t="s">
        <v>440</v>
      </c>
      <c r="C111" s="25">
        <v>2051591006</v>
      </c>
      <c r="D111" s="188">
        <v>32663</v>
      </c>
      <c r="E111" s="23" t="s">
        <v>1370</v>
      </c>
      <c r="F111" s="23" t="s">
        <v>10</v>
      </c>
      <c r="G111" s="188"/>
      <c r="H111" s="176" t="s">
        <v>439</v>
      </c>
      <c r="I111" s="176" t="s">
        <v>440</v>
      </c>
      <c r="J111" s="25">
        <v>2051591006</v>
      </c>
      <c r="K111" s="188">
        <v>32663</v>
      </c>
      <c r="L111" s="23" t="s">
        <v>1370</v>
      </c>
      <c r="M111" s="23" t="s">
        <v>10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</row>
    <row r="112" spans="1:31" x14ac:dyDescent="0.3">
      <c r="A112" s="176" t="s">
        <v>441</v>
      </c>
      <c r="B112" s="176" t="s">
        <v>322</v>
      </c>
      <c r="C112" s="25">
        <v>2065089157</v>
      </c>
      <c r="D112" s="188">
        <v>32789</v>
      </c>
      <c r="E112" s="23" t="s">
        <v>1371</v>
      </c>
      <c r="F112" s="23" t="s">
        <v>10</v>
      </c>
      <c r="G112" s="188"/>
      <c r="H112" s="176" t="s">
        <v>441</v>
      </c>
      <c r="I112" s="176" t="s">
        <v>322</v>
      </c>
      <c r="J112" s="25">
        <v>2065089157</v>
      </c>
      <c r="K112" s="188">
        <v>32789</v>
      </c>
      <c r="L112" s="23" t="s">
        <v>1371</v>
      </c>
      <c r="M112" s="23" t="s">
        <v>10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</row>
    <row r="113" spans="1:31" x14ac:dyDescent="0.3">
      <c r="A113" s="176" t="s">
        <v>442</v>
      </c>
      <c r="B113" s="176" t="s">
        <v>443</v>
      </c>
      <c r="C113" s="25">
        <v>7015185281</v>
      </c>
      <c r="D113" s="188">
        <v>30152</v>
      </c>
      <c r="E113" s="23" t="s">
        <v>1372</v>
      </c>
      <c r="F113" s="23" t="s">
        <v>10</v>
      </c>
      <c r="G113" s="188"/>
      <c r="H113" s="176" t="s">
        <v>442</v>
      </c>
      <c r="I113" s="176" t="s">
        <v>443</v>
      </c>
      <c r="J113" s="25">
        <v>7015185281</v>
      </c>
      <c r="K113" s="188">
        <v>30152</v>
      </c>
      <c r="L113" s="23" t="s">
        <v>1372</v>
      </c>
      <c r="M113" s="23" t="s">
        <v>10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</row>
    <row r="114" spans="1:31" x14ac:dyDescent="0.3">
      <c r="A114" s="176" t="s">
        <v>444</v>
      </c>
      <c r="B114" s="176" t="s">
        <v>445</v>
      </c>
      <c r="C114" s="25">
        <v>2056969994</v>
      </c>
      <c r="D114" s="188">
        <v>33961</v>
      </c>
      <c r="E114" s="23" t="s">
        <v>1373</v>
      </c>
      <c r="F114" s="23" t="s">
        <v>6</v>
      </c>
      <c r="G114" s="188"/>
      <c r="H114" s="176" t="s">
        <v>444</v>
      </c>
      <c r="I114" s="176" t="s">
        <v>445</v>
      </c>
      <c r="J114" s="25">
        <v>2056969994</v>
      </c>
      <c r="K114" s="188">
        <v>33961</v>
      </c>
      <c r="L114" s="23" t="s">
        <v>1373</v>
      </c>
      <c r="M114" s="23" t="s">
        <v>6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</row>
    <row r="115" spans="1:31" x14ac:dyDescent="0.3">
      <c r="A115" s="176" t="s">
        <v>446</v>
      </c>
      <c r="B115" s="176" t="s">
        <v>447</v>
      </c>
      <c r="C115" s="25">
        <v>4096799516</v>
      </c>
      <c r="D115" s="188">
        <v>28848</v>
      </c>
      <c r="E115" s="23" t="s">
        <v>1374</v>
      </c>
      <c r="F115" s="23" t="s">
        <v>18</v>
      </c>
      <c r="G115" s="188"/>
      <c r="H115" s="176" t="s">
        <v>446</v>
      </c>
      <c r="I115" s="176" t="s">
        <v>447</v>
      </c>
      <c r="J115" s="25">
        <v>4096799516</v>
      </c>
      <c r="K115" s="188">
        <v>28848</v>
      </c>
      <c r="L115" s="23" t="s">
        <v>1374</v>
      </c>
      <c r="M115" s="23" t="s">
        <v>18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</row>
    <row r="116" spans="1:31" x14ac:dyDescent="0.3">
      <c r="A116" s="176" t="s">
        <v>448</v>
      </c>
      <c r="B116" s="176" t="s">
        <v>447</v>
      </c>
      <c r="C116" s="25">
        <v>5057785583</v>
      </c>
      <c r="D116" s="188">
        <v>30631</v>
      </c>
      <c r="E116" s="23" t="s">
        <v>1375</v>
      </c>
      <c r="F116" s="23" t="s">
        <v>6</v>
      </c>
      <c r="G116" s="188"/>
      <c r="H116" s="176" t="s">
        <v>448</v>
      </c>
      <c r="I116" s="176" t="s">
        <v>447</v>
      </c>
      <c r="J116" s="25">
        <v>5057785583</v>
      </c>
      <c r="K116" s="188">
        <v>30631</v>
      </c>
      <c r="L116" s="23" t="s">
        <v>1375</v>
      </c>
      <c r="M116" s="23" t="s">
        <v>6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</row>
    <row r="117" spans="1:31" x14ac:dyDescent="0.3">
      <c r="A117" s="176" t="s">
        <v>449</v>
      </c>
      <c r="B117" s="176" t="s">
        <v>440</v>
      </c>
      <c r="C117" s="25">
        <v>7087491979</v>
      </c>
      <c r="D117" s="188">
        <v>28311</v>
      </c>
      <c r="E117" s="23" t="s">
        <v>1376</v>
      </c>
      <c r="F117" s="23" t="s">
        <v>10</v>
      </c>
      <c r="G117" s="188"/>
      <c r="H117" s="176" t="s">
        <v>449</v>
      </c>
      <c r="I117" s="176" t="s">
        <v>440</v>
      </c>
      <c r="J117" s="25">
        <v>7087491979</v>
      </c>
      <c r="K117" s="188">
        <v>28311</v>
      </c>
      <c r="L117" s="23" t="s">
        <v>1376</v>
      </c>
      <c r="M117" s="23" t="s">
        <v>10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</row>
    <row r="118" spans="1:31" x14ac:dyDescent="0.3">
      <c r="A118" s="176" t="s">
        <v>450</v>
      </c>
      <c r="B118" s="176" t="s">
        <v>451</v>
      </c>
      <c r="C118" s="25">
        <v>5157461285</v>
      </c>
      <c r="D118" s="188">
        <v>29702</v>
      </c>
      <c r="E118" s="23" t="s">
        <v>1377</v>
      </c>
      <c r="F118" s="23" t="s">
        <v>10</v>
      </c>
      <c r="G118" s="188"/>
      <c r="H118" s="176" t="s">
        <v>450</v>
      </c>
      <c r="I118" s="176" t="s">
        <v>451</v>
      </c>
      <c r="J118" s="25">
        <v>5157461285</v>
      </c>
      <c r="K118" s="188">
        <v>29702</v>
      </c>
      <c r="L118" s="23" t="s">
        <v>1377</v>
      </c>
      <c r="M118" s="23" t="s">
        <v>10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</row>
    <row r="119" spans="1:31" x14ac:dyDescent="0.3">
      <c r="A119" s="176" t="s">
        <v>452</v>
      </c>
      <c r="B119" s="176" t="s">
        <v>447</v>
      </c>
      <c r="C119" s="25">
        <v>5195770085</v>
      </c>
      <c r="D119" s="188">
        <v>32694</v>
      </c>
      <c r="E119" s="23" t="s">
        <v>1378</v>
      </c>
      <c r="F119" s="23" t="s">
        <v>10</v>
      </c>
      <c r="G119" s="188"/>
      <c r="H119" s="176" t="s">
        <v>452</v>
      </c>
      <c r="I119" s="176" t="s">
        <v>447</v>
      </c>
      <c r="J119" s="25">
        <v>5195770085</v>
      </c>
      <c r="K119" s="188">
        <v>32694</v>
      </c>
      <c r="L119" s="23" t="s">
        <v>1378</v>
      </c>
      <c r="M119" s="23" t="s">
        <v>10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</row>
    <row r="120" spans="1:31" x14ac:dyDescent="0.3">
      <c r="A120" s="176" t="s">
        <v>220</v>
      </c>
      <c r="B120" s="176" t="s">
        <v>221</v>
      </c>
      <c r="C120" s="25">
        <v>9015057530</v>
      </c>
      <c r="D120" s="188">
        <v>27859</v>
      </c>
      <c r="E120" s="23" t="s">
        <v>1379</v>
      </c>
      <c r="F120" s="23" t="s">
        <v>6</v>
      </c>
      <c r="G120" s="188"/>
      <c r="H120" s="176" t="s">
        <v>220</v>
      </c>
      <c r="I120" s="176" t="s">
        <v>221</v>
      </c>
      <c r="J120" s="25">
        <v>9015057530</v>
      </c>
      <c r="K120" s="188">
        <v>27859</v>
      </c>
      <c r="L120" s="23" t="s">
        <v>1379</v>
      </c>
      <c r="M120" s="23" t="s">
        <v>6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</row>
    <row r="121" spans="1:31" x14ac:dyDescent="0.3">
      <c r="A121" s="176" t="s">
        <v>220</v>
      </c>
      <c r="B121" s="176" t="s">
        <v>453</v>
      </c>
      <c r="C121" s="25">
        <v>9064989537</v>
      </c>
      <c r="D121" s="188">
        <v>27858</v>
      </c>
      <c r="E121" s="23" t="s">
        <v>1380</v>
      </c>
      <c r="F121" s="23" t="s">
        <v>10</v>
      </c>
      <c r="G121" s="188"/>
      <c r="H121" s="176" t="s">
        <v>220</v>
      </c>
      <c r="I121" s="176" t="s">
        <v>453</v>
      </c>
      <c r="J121" s="25">
        <v>9064989537</v>
      </c>
      <c r="K121" s="188">
        <v>27858</v>
      </c>
      <c r="L121" s="23" t="s">
        <v>1380</v>
      </c>
      <c r="M121" s="23" t="s">
        <v>10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</row>
    <row r="122" spans="1:31" x14ac:dyDescent="0.3">
      <c r="A122" s="176" t="s">
        <v>454</v>
      </c>
      <c r="B122" s="176" t="s">
        <v>306</v>
      </c>
      <c r="C122" s="25">
        <v>2071653055</v>
      </c>
      <c r="D122" s="188">
        <v>35747</v>
      </c>
      <c r="E122" s="23" t="s">
        <v>1381</v>
      </c>
      <c r="F122" s="23" t="s">
        <v>33</v>
      </c>
      <c r="G122" s="188"/>
      <c r="H122" s="176" t="s">
        <v>454</v>
      </c>
      <c r="I122" s="176" t="s">
        <v>306</v>
      </c>
      <c r="J122" s="25">
        <v>2071653055</v>
      </c>
      <c r="K122" s="188">
        <v>35747</v>
      </c>
      <c r="L122" s="23" t="s">
        <v>1381</v>
      </c>
      <c r="M122" s="23" t="s">
        <v>33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</row>
    <row r="123" spans="1:31" x14ac:dyDescent="0.3">
      <c r="A123" s="176" t="s">
        <v>455</v>
      </c>
      <c r="B123" s="176" t="s">
        <v>456</v>
      </c>
      <c r="C123" s="25">
        <v>5042822520</v>
      </c>
      <c r="D123" s="188">
        <v>29671</v>
      </c>
      <c r="E123" s="23" t="s">
        <v>1382</v>
      </c>
      <c r="F123" s="23" t="s">
        <v>10</v>
      </c>
      <c r="G123" s="188"/>
      <c r="H123" s="176" t="s">
        <v>455</v>
      </c>
      <c r="I123" s="176" t="s">
        <v>456</v>
      </c>
      <c r="J123" s="25">
        <v>5042822520</v>
      </c>
      <c r="K123" s="188">
        <v>29671</v>
      </c>
      <c r="L123" s="23" t="s">
        <v>1382</v>
      </c>
      <c r="M123" s="23" t="s">
        <v>10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</row>
    <row r="124" spans="1:31" x14ac:dyDescent="0.3">
      <c r="A124" s="176" t="s">
        <v>259</v>
      </c>
      <c r="B124" s="176" t="s">
        <v>260</v>
      </c>
      <c r="C124" s="25">
        <v>8014272773</v>
      </c>
      <c r="D124" s="188">
        <v>35708</v>
      </c>
      <c r="E124" s="23" t="s">
        <v>1383</v>
      </c>
      <c r="F124" s="23" t="s">
        <v>18</v>
      </c>
      <c r="G124" s="188"/>
      <c r="H124" s="176" t="s">
        <v>259</v>
      </c>
      <c r="I124" s="176" t="s">
        <v>260</v>
      </c>
      <c r="J124" s="25">
        <v>8014272773</v>
      </c>
      <c r="K124" s="188">
        <v>35708</v>
      </c>
      <c r="L124" s="23" t="s">
        <v>1383</v>
      </c>
      <c r="M124" s="23" t="s">
        <v>18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</row>
    <row r="125" spans="1:31" x14ac:dyDescent="0.3">
      <c r="A125" s="176" t="s">
        <v>259</v>
      </c>
      <c r="B125" s="176" t="s">
        <v>262</v>
      </c>
      <c r="C125" s="25">
        <v>3164078104</v>
      </c>
      <c r="D125" s="188">
        <v>28497</v>
      </c>
      <c r="E125" s="23" t="s">
        <v>1384</v>
      </c>
      <c r="F125" s="23" t="s">
        <v>6</v>
      </c>
      <c r="G125" s="188"/>
      <c r="H125" s="176" t="s">
        <v>259</v>
      </c>
      <c r="I125" s="176" t="s">
        <v>262</v>
      </c>
      <c r="J125" s="25">
        <v>3164078104</v>
      </c>
      <c r="K125" s="188">
        <v>28497</v>
      </c>
      <c r="L125" s="23" t="s">
        <v>1384</v>
      </c>
      <c r="M125" s="23" t="s">
        <v>6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</row>
    <row r="126" spans="1:31" x14ac:dyDescent="0.3">
      <c r="A126" s="176" t="s">
        <v>457</v>
      </c>
      <c r="B126" s="176" t="s">
        <v>380</v>
      </c>
      <c r="C126" s="25">
        <v>6067280453</v>
      </c>
      <c r="D126" s="188">
        <v>29369</v>
      </c>
      <c r="E126" s="23" t="s">
        <v>1385</v>
      </c>
      <c r="F126" s="23" t="s">
        <v>10</v>
      </c>
      <c r="G126" s="188"/>
      <c r="H126" s="176" t="s">
        <v>457</v>
      </c>
      <c r="I126" s="176" t="s">
        <v>380</v>
      </c>
      <c r="J126" s="25">
        <v>6067280453</v>
      </c>
      <c r="K126" s="188">
        <v>29369</v>
      </c>
      <c r="L126" s="23" t="s">
        <v>1385</v>
      </c>
      <c r="M126" s="23" t="s">
        <v>10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</row>
    <row r="127" spans="1:31" x14ac:dyDescent="0.3">
      <c r="A127" s="176" t="s">
        <v>458</v>
      </c>
      <c r="B127" s="176" t="s">
        <v>459</v>
      </c>
      <c r="C127" s="25">
        <v>3028413271</v>
      </c>
      <c r="D127" s="188">
        <v>29787</v>
      </c>
      <c r="E127" s="23" t="s">
        <v>1386</v>
      </c>
      <c r="F127" s="23" t="s">
        <v>18</v>
      </c>
      <c r="G127" s="188"/>
      <c r="H127" s="176" t="s">
        <v>458</v>
      </c>
      <c r="I127" s="176" t="s">
        <v>459</v>
      </c>
      <c r="J127" s="25">
        <v>3028413271</v>
      </c>
      <c r="K127" s="188">
        <v>29787</v>
      </c>
      <c r="L127" s="23" t="s">
        <v>1386</v>
      </c>
      <c r="M127" s="23" t="s">
        <v>18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</row>
    <row r="128" spans="1:31" x14ac:dyDescent="0.3">
      <c r="A128" s="176" t="s">
        <v>460</v>
      </c>
      <c r="B128" s="176" t="s">
        <v>391</v>
      </c>
      <c r="C128" s="25">
        <v>2156224056</v>
      </c>
      <c r="D128" s="188">
        <v>35194</v>
      </c>
      <c r="E128" s="23" t="s">
        <v>1387</v>
      </c>
      <c r="F128" s="23" t="s">
        <v>10</v>
      </c>
      <c r="G128" s="188"/>
      <c r="H128" s="176" t="s">
        <v>460</v>
      </c>
      <c r="I128" s="176" t="s">
        <v>391</v>
      </c>
      <c r="J128" s="25">
        <v>2156224056</v>
      </c>
      <c r="K128" s="188">
        <v>35194</v>
      </c>
      <c r="L128" s="23" t="s">
        <v>1387</v>
      </c>
      <c r="M128" s="23" t="s">
        <v>10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</row>
    <row r="129" spans="1:31" x14ac:dyDescent="0.3">
      <c r="A129" s="176" t="s">
        <v>222</v>
      </c>
      <c r="B129" s="176" t="s">
        <v>223</v>
      </c>
      <c r="C129" s="25">
        <v>3081282202</v>
      </c>
      <c r="D129" s="188">
        <v>28025</v>
      </c>
      <c r="E129" s="23" t="s">
        <v>1388</v>
      </c>
      <c r="F129" s="23" t="s">
        <v>18</v>
      </c>
      <c r="G129" s="188"/>
      <c r="H129" s="176" t="s">
        <v>222</v>
      </c>
      <c r="I129" s="176" t="s">
        <v>223</v>
      </c>
      <c r="J129" s="25">
        <v>3081282202</v>
      </c>
      <c r="K129" s="188">
        <v>28025</v>
      </c>
      <c r="L129" s="23" t="s">
        <v>1388</v>
      </c>
      <c r="M129" s="23" t="s">
        <v>18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</row>
    <row r="130" spans="1:31" x14ac:dyDescent="0.3">
      <c r="A130" s="176" t="s">
        <v>461</v>
      </c>
      <c r="B130" s="176" t="s">
        <v>462</v>
      </c>
      <c r="C130" s="25">
        <v>8064697218</v>
      </c>
      <c r="D130" s="188">
        <v>27920</v>
      </c>
      <c r="E130" s="23" t="s">
        <v>1389</v>
      </c>
      <c r="F130" s="23" t="s">
        <v>6</v>
      </c>
      <c r="G130" s="188"/>
      <c r="H130" s="176" t="s">
        <v>461</v>
      </c>
      <c r="I130" s="176" t="s">
        <v>462</v>
      </c>
      <c r="J130" s="25">
        <v>8064697218</v>
      </c>
      <c r="K130" s="188">
        <v>27920</v>
      </c>
      <c r="L130" s="23" t="s">
        <v>1389</v>
      </c>
      <c r="M130" s="23" t="s">
        <v>6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</row>
    <row r="131" spans="1:31" x14ac:dyDescent="0.3">
      <c r="A131" s="176" t="s">
        <v>463</v>
      </c>
      <c r="B131" s="176" t="s">
        <v>464</v>
      </c>
      <c r="C131" s="25">
        <v>3063876146</v>
      </c>
      <c r="D131" s="188">
        <v>28613</v>
      </c>
      <c r="E131" s="23" t="s">
        <v>1390</v>
      </c>
      <c r="F131" s="23" t="s">
        <v>10</v>
      </c>
      <c r="G131" s="188"/>
      <c r="H131" s="176" t="s">
        <v>463</v>
      </c>
      <c r="I131" s="176" t="s">
        <v>464</v>
      </c>
      <c r="J131" s="25">
        <v>3063876146</v>
      </c>
      <c r="K131" s="188">
        <v>28613</v>
      </c>
      <c r="L131" s="23" t="s">
        <v>1390</v>
      </c>
      <c r="M131" s="23" t="s">
        <v>10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</row>
    <row r="132" spans="1:31" x14ac:dyDescent="0.3">
      <c r="A132" s="176" t="s">
        <v>465</v>
      </c>
      <c r="B132" s="176" t="s">
        <v>466</v>
      </c>
      <c r="C132" s="25">
        <v>3017312659</v>
      </c>
      <c r="D132" s="188">
        <v>28933</v>
      </c>
      <c r="E132" s="23" t="s">
        <v>1391</v>
      </c>
      <c r="F132" s="23" t="s">
        <v>10</v>
      </c>
      <c r="G132" s="188"/>
      <c r="H132" s="176" t="s">
        <v>465</v>
      </c>
      <c r="I132" s="176" t="s">
        <v>466</v>
      </c>
      <c r="J132" s="25">
        <v>3017312659</v>
      </c>
      <c r="K132" s="188">
        <v>28933</v>
      </c>
      <c r="L132" s="23" t="s">
        <v>1391</v>
      </c>
      <c r="M132" s="23" t="s">
        <v>10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</row>
    <row r="133" spans="1:31" ht="26.4" x14ac:dyDescent="0.3">
      <c r="A133" s="176" t="s">
        <v>467</v>
      </c>
      <c r="B133" s="176" t="s">
        <v>468</v>
      </c>
      <c r="C133" s="25">
        <v>9061535362</v>
      </c>
      <c r="D133" s="188">
        <v>29787</v>
      </c>
      <c r="E133" s="23" t="s">
        <v>1392</v>
      </c>
      <c r="F133" s="23" t="s">
        <v>10</v>
      </c>
      <c r="G133" s="188"/>
      <c r="H133" s="176" t="s">
        <v>467</v>
      </c>
      <c r="I133" s="176" t="s">
        <v>468</v>
      </c>
      <c r="J133" s="25">
        <v>9061535362</v>
      </c>
      <c r="K133" s="188">
        <v>29787</v>
      </c>
      <c r="L133" s="23" t="s">
        <v>1392</v>
      </c>
      <c r="M133" s="23" t="s">
        <v>10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</row>
    <row r="134" spans="1:31" x14ac:dyDescent="0.3">
      <c r="A134" s="176" t="s">
        <v>469</v>
      </c>
      <c r="B134" s="176" t="s">
        <v>470</v>
      </c>
      <c r="C134" s="25">
        <v>4087577867</v>
      </c>
      <c r="D134" s="188">
        <v>30496</v>
      </c>
      <c r="E134" s="23" t="s">
        <v>1393</v>
      </c>
      <c r="F134" s="23" t="s">
        <v>10</v>
      </c>
      <c r="G134" s="188"/>
      <c r="H134" s="176" t="s">
        <v>469</v>
      </c>
      <c r="I134" s="176" t="s">
        <v>470</v>
      </c>
      <c r="J134" s="25">
        <v>4087577867</v>
      </c>
      <c r="K134" s="188">
        <v>30496</v>
      </c>
      <c r="L134" s="23" t="s">
        <v>1393</v>
      </c>
      <c r="M134" s="23" t="s">
        <v>10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</row>
    <row r="135" spans="1:31" x14ac:dyDescent="0.3">
      <c r="A135" s="176" t="s">
        <v>471</v>
      </c>
      <c r="B135" s="176" t="s">
        <v>472</v>
      </c>
      <c r="C135" s="25">
        <v>2126126835</v>
      </c>
      <c r="D135" s="188">
        <v>34693</v>
      </c>
      <c r="E135" s="23" t="s">
        <v>1394</v>
      </c>
      <c r="F135" s="23" t="s">
        <v>6</v>
      </c>
      <c r="G135" s="188"/>
      <c r="H135" s="176" t="s">
        <v>471</v>
      </c>
      <c r="I135" s="176" t="s">
        <v>472</v>
      </c>
      <c r="J135" s="25">
        <v>2126126835</v>
      </c>
      <c r="K135" s="188">
        <v>34693</v>
      </c>
      <c r="L135" s="23" t="s">
        <v>1394</v>
      </c>
      <c r="M135" s="23" t="s">
        <v>6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</row>
    <row r="136" spans="1:31" x14ac:dyDescent="0.3">
      <c r="A136" s="176" t="s">
        <v>473</v>
      </c>
      <c r="B136" s="176" t="s">
        <v>395</v>
      </c>
      <c r="C136" s="25">
        <v>9165512521</v>
      </c>
      <c r="D136" s="188">
        <v>29899</v>
      </c>
      <c r="E136" s="23" t="s">
        <v>1395</v>
      </c>
      <c r="F136" s="23" t="s">
        <v>10</v>
      </c>
      <c r="G136" s="188"/>
      <c r="H136" s="176" t="s">
        <v>473</v>
      </c>
      <c r="I136" s="176" t="s">
        <v>395</v>
      </c>
      <c r="J136" s="25">
        <v>9165512521</v>
      </c>
      <c r="K136" s="188">
        <v>29899</v>
      </c>
      <c r="L136" s="23" t="s">
        <v>1395</v>
      </c>
      <c r="M136" s="23" t="s">
        <v>10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</row>
    <row r="137" spans="1:31" x14ac:dyDescent="0.3">
      <c r="A137" s="176" t="s">
        <v>474</v>
      </c>
      <c r="B137" s="176" t="s">
        <v>475</v>
      </c>
      <c r="C137" s="25">
        <v>9117077326</v>
      </c>
      <c r="D137" s="188">
        <v>33339</v>
      </c>
      <c r="E137" s="23" t="s">
        <v>1396</v>
      </c>
      <c r="F137" s="23" t="s">
        <v>33</v>
      </c>
      <c r="G137" s="188"/>
      <c r="H137" s="176" t="s">
        <v>474</v>
      </c>
      <c r="I137" s="176" t="s">
        <v>475</v>
      </c>
      <c r="J137" s="25">
        <v>9117077326</v>
      </c>
      <c r="K137" s="188">
        <v>33339</v>
      </c>
      <c r="L137" s="23" t="s">
        <v>1396</v>
      </c>
      <c r="M137" s="23" t="s">
        <v>33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</row>
    <row r="138" spans="1:31" x14ac:dyDescent="0.3">
      <c r="A138" s="176" t="s">
        <v>476</v>
      </c>
      <c r="B138" s="176" t="s">
        <v>288</v>
      </c>
      <c r="C138" s="25">
        <v>2075508095</v>
      </c>
      <c r="D138" s="188">
        <v>34836</v>
      </c>
      <c r="E138" s="23" t="s">
        <v>1397</v>
      </c>
      <c r="F138" s="23" t="s">
        <v>10</v>
      </c>
      <c r="G138" s="188"/>
      <c r="H138" s="176" t="s">
        <v>476</v>
      </c>
      <c r="I138" s="176" t="s">
        <v>288</v>
      </c>
      <c r="J138" s="25">
        <v>2075508095</v>
      </c>
      <c r="K138" s="188">
        <v>34836</v>
      </c>
      <c r="L138" s="23" t="s">
        <v>1397</v>
      </c>
      <c r="M138" s="23" t="s">
        <v>10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</row>
    <row r="139" spans="1:31" x14ac:dyDescent="0.3">
      <c r="A139" s="176" t="s">
        <v>477</v>
      </c>
      <c r="B139" s="176" t="s">
        <v>417</v>
      </c>
      <c r="C139" s="25">
        <v>2174075460</v>
      </c>
      <c r="D139" s="188">
        <v>30039</v>
      </c>
      <c r="E139" s="23" t="s">
        <v>1398</v>
      </c>
      <c r="F139" s="23" t="s">
        <v>10</v>
      </c>
      <c r="G139" s="188"/>
      <c r="H139" s="176" t="s">
        <v>477</v>
      </c>
      <c r="I139" s="176" t="s">
        <v>417</v>
      </c>
      <c r="J139" s="25">
        <v>2174075460</v>
      </c>
      <c r="K139" s="188">
        <v>30039</v>
      </c>
      <c r="L139" s="23" t="s">
        <v>1398</v>
      </c>
      <c r="M139" s="23" t="s">
        <v>10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</row>
    <row r="140" spans="1:31" x14ac:dyDescent="0.3">
      <c r="A140" s="176" t="s">
        <v>478</v>
      </c>
      <c r="B140" s="176" t="s">
        <v>479</v>
      </c>
      <c r="C140" s="25">
        <v>2066971022</v>
      </c>
      <c r="D140" s="188">
        <v>29379</v>
      </c>
      <c r="E140" s="23" t="s">
        <v>1399</v>
      </c>
      <c r="F140" s="23" t="s">
        <v>10</v>
      </c>
      <c r="G140" s="188"/>
      <c r="H140" s="176" t="s">
        <v>478</v>
      </c>
      <c r="I140" s="176" t="s">
        <v>479</v>
      </c>
      <c r="J140" s="25">
        <v>2066971022</v>
      </c>
      <c r="K140" s="188">
        <v>29379</v>
      </c>
      <c r="L140" s="23" t="s">
        <v>1399</v>
      </c>
      <c r="M140" s="23" t="s">
        <v>10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</row>
    <row r="141" spans="1:31" x14ac:dyDescent="0.3">
      <c r="A141" s="176" t="s">
        <v>480</v>
      </c>
      <c r="B141" s="176" t="s">
        <v>481</v>
      </c>
      <c r="C141" s="25">
        <v>7068801464</v>
      </c>
      <c r="D141" s="188">
        <v>35625</v>
      </c>
      <c r="E141" s="23" t="s">
        <v>1400</v>
      </c>
      <c r="F141" s="23" t="s">
        <v>6</v>
      </c>
      <c r="G141" s="188"/>
      <c r="H141" s="176" t="s">
        <v>480</v>
      </c>
      <c r="I141" s="176" t="s">
        <v>481</v>
      </c>
      <c r="J141" s="25">
        <v>7068801464</v>
      </c>
      <c r="K141" s="188">
        <v>35625</v>
      </c>
      <c r="L141" s="23" t="s">
        <v>1400</v>
      </c>
      <c r="M141" s="23" t="s">
        <v>6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</row>
    <row r="142" spans="1:31" x14ac:dyDescent="0.3">
      <c r="A142" s="176" t="s">
        <v>482</v>
      </c>
      <c r="B142" s="176" t="s">
        <v>285</v>
      </c>
      <c r="C142" s="25">
        <v>2086201509</v>
      </c>
      <c r="D142" s="188">
        <v>29487</v>
      </c>
      <c r="E142" s="23" t="s">
        <v>1401</v>
      </c>
      <c r="F142" s="23" t="s">
        <v>18</v>
      </c>
      <c r="G142" s="188"/>
      <c r="H142" s="176" t="s">
        <v>482</v>
      </c>
      <c r="I142" s="176" t="s">
        <v>285</v>
      </c>
      <c r="J142" s="25">
        <v>2086201509</v>
      </c>
      <c r="K142" s="188">
        <v>29487</v>
      </c>
      <c r="L142" s="23" t="s">
        <v>1401</v>
      </c>
      <c r="M142" s="23" t="s">
        <v>18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</row>
    <row r="143" spans="1:31" x14ac:dyDescent="0.3">
      <c r="A143" s="176" t="s">
        <v>483</v>
      </c>
      <c r="B143" s="176" t="s">
        <v>484</v>
      </c>
      <c r="C143" s="25">
        <v>3186514650</v>
      </c>
      <c r="D143" s="188">
        <v>28537</v>
      </c>
      <c r="E143" s="23" t="s">
        <v>1402</v>
      </c>
      <c r="F143" s="23" t="s">
        <v>10</v>
      </c>
      <c r="G143" s="188"/>
      <c r="H143" s="176" t="s">
        <v>483</v>
      </c>
      <c r="I143" s="176" t="s">
        <v>484</v>
      </c>
      <c r="J143" s="25">
        <v>3186514650</v>
      </c>
      <c r="K143" s="188">
        <v>28537</v>
      </c>
      <c r="L143" s="23" t="s">
        <v>1402</v>
      </c>
      <c r="M143" s="23" t="s">
        <v>10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</row>
    <row r="144" spans="1:31" x14ac:dyDescent="0.3">
      <c r="A144" s="176" t="s">
        <v>485</v>
      </c>
      <c r="B144" s="176" t="s">
        <v>486</v>
      </c>
      <c r="C144" s="25">
        <v>7083575849</v>
      </c>
      <c r="D144" s="188">
        <v>30367</v>
      </c>
      <c r="E144" s="23" t="s">
        <v>1403</v>
      </c>
      <c r="F144" s="23" t="s">
        <v>10</v>
      </c>
      <c r="G144" s="188"/>
      <c r="H144" s="176" t="s">
        <v>485</v>
      </c>
      <c r="I144" s="176" t="s">
        <v>486</v>
      </c>
      <c r="J144" s="25">
        <v>7083575849</v>
      </c>
      <c r="K144" s="188">
        <v>30367</v>
      </c>
      <c r="L144" s="23" t="s">
        <v>1403</v>
      </c>
      <c r="M144" s="23" t="s">
        <v>10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</row>
    <row r="145" spans="1:31" x14ac:dyDescent="0.3">
      <c r="A145" s="176" t="s">
        <v>487</v>
      </c>
      <c r="B145" s="176" t="s">
        <v>488</v>
      </c>
      <c r="C145" s="25">
        <v>8015230846</v>
      </c>
      <c r="D145" s="188">
        <v>31933</v>
      </c>
      <c r="E145" s="23" t="s">
        <v>1404</v>
      </c>
      <c r="F145" s="23" t="s">
        <v>6</v>
      </c>
      <c r="G145" s="188"/>
      <c r="H145" s="176" t="s">
        <v>487</v>
      </c>
      <c r="I145" s="176" t="s">
        <v>488</v>
      </c>
      <c r="J145" s="25">
        <v>8015230846</v>
      </c>
      <c r="K145" s="188">
        <v>31933</v>
      </c>
      <c r="L145" s="23" t="s">
        <v>1404</v>
      </c>
      <c r="M145" s="23" t="s">
        <v>6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</row>
    <row r="146" spans="1:31" x14ac:dyDescent="0.3">
      <c r="A146" s="176" t="s">
        <v>489</v>
      </c>
      <c r="B146" s="176" t="s">
        <v>490</v>
      </c>
      <c r="C146" s="25">
        <v>4087049910</v>
      </c>
      <c r="D146" s="188">
        <v>32417</v>
      </c>
      <c r="E146" s="23" t="s">
        <v>1405</v>
      </c>
      <c r="F146" s="23" t="s">
        <v>10</v>
      </c>
      <c r="G146" s="188"/>
      <c r="H146" s="176" t="s">
        <v>489</v>
      </c>
      <c r="I146" s="176" t="s">
        <v>490</v>
      </c>
      <c r="J146" s="25">
        <v>4087049910</v>
      </c>
      <c r="K146" s="188">
        <v>32417</v>
      </c>
      <c r="L146" s="23" t="s">
        <v>1405</v>
      </c>
      <c r="M146" s="23" t="s">
        <v>10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</row>
    <row r="147" spans="1:31" x14ac:dyDescent="0.3">
      <c r="A147" s="176" t="s">
        <v>491</v>
      </c>
      <c r="B147" s="176" t="s">
        <v>285</v>
      </c>
      <c r="C147" s="25">
        <v>7152749909</v>
      </c>
      <c r="D147" s="188">
        <v>32648</v>
      </c>
      <c r="E147" s="23" t="s">
        <v>1406</v>
      </c>
      <c r="F147" s="23" t="s">
        <v>10</v>
      </c>
      <c r="G147" s="188"/>
      <c r="H147" s="176" t="s">
        <v>491</v>
      </c>
      <c r="I147" s="176" t="s">
        <v>285</v>
      </c>
      <c r="J147" s="25">
        <v>7152749909</v>
      </c>
      <c r="K147" s="188">
        <v>32648</v>
      </c>
      <c r="L147" s="23" t="s">
        <v>1406</v>
      </c>
      <c r="M147" s="23" t="s">
        <v>10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</row>
    <row r="148" spans="1:31" x14ac:dyDescent="0.3">
      <c r="A148" s="176" t="s">
        <v>492</v>
      </c>
      <c r="B148" s="176" t="s">
        <v>493</v>
      </c>
      <c r="C148" s="25">
        <v>3153386758</v>
      </c>
      <c r="D148" s="188">
        <v>32663</v>
      </c>
      <c r="E148" s="23" t="s">
        <v>1407</v>
      </c>
      <c r="F148" s="23" t="s">
        <v>33</v>
      </c>
      <c r="G148" s="188"/>
      <c r="H148" s="176" t="s">
        <v>492</v>
      </c>
      <c r="I148" s="176" t="s">
        <v>493</v>
      </c>
      <c r="J148" s="25">
        <v>3153386758</v>
      </c>
      <c r="K148" s="188">
        <v>32663</v>
      </c>
      <c r="L148" s="23" t="s">
        <v>1407</v>
      </c>
      <c r="M148" s="23" t="s">
        <v>33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</row>
    <row r="149" spans="1:31" x14ac:dyDescent="0.3">
      <c r="A149" s="176" t="s">
        <v>494</v>
      </c>
      <c r="B149" s="176" t="s">
        <v>342</v>
      </c>
      <c r="C149" s="25">
        <v>9024125146</v>
      </c>
      <c r="D149" s="188">
        <v>32789</v>
      </c>
      <c r="E149" s="23" t="s">
        <v>1408</v>
      </c>
      <c r="F149" s="23" t="s">
        <v>6</v>
      </c>
      <c r="G149" s="188"/>
      <c r="H149" s="176" t="s">
        <v>494</v>
      </c>
      <c r="I149" s="176" t="s">
        <v>342</v>
      </c>
      <c r="J149" s="25">
        <v>9024125146</v>
      </c>
      <c r="K149" s="188">
        <v>32789</v>
      </c>
      <c r="L149" s="23" t="s">
        <v>1408</v>
      </c>
      <c r="M149" s="23" t="s">
        <v>6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</row>
    <row r="150" spans="1:31" ht="26.4" x14ac:dyDescent="0.3">
      <c r="A150" s="176" t="s">
        <v>241</v>
      </c>
      <c r="B150" s="176" t="s">
        <v>242</v>
      </c>
      <c r="C150" s="25">
        <v>6194897618</v>
      </c>
      <c r="D150" s="188">
        <v>30152</v>
      </c>
      <c r="E150" s="23" t="s">
        <v>1409</v>
      </c>
      <c r="F150" s="23" t="s">
        <v>10</v>
      </c>
      <c r="G150" s="188"/>
      <c r="H150" s="176" t="s">
        <v>241</v>
      </c>
      <c r="I150" s="176" t="s">
        <v>242</v>
      </c>
      <c r="J150" s="25">
        <v>6194897618</v>
      </c>
      <c r="K150" s="188">
        <v>30152</v>
      </c>
      <c r="L150" s="23" t="s">
        <v>1409</v>
      </c>
      <c r="M150" s="23" t="s">
        <v>10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</row>
    <row r="151" spans="1:31" x14ac:dyDescent="0.3">
      <c r="A151" s="176" t="s">
        <v>495</v>
      </c>
      <c r="B151" s="176" t="s">
        <v>285</v>
      </c>
      <c r="C151" s="25">
        <v>4017102355</v>
      </c>
      <c r="D151" s="188">
        <v>33961</v>
      </c>
      <c r="E151" s="23" t="s">
        <v>1410</v>
      </c>
      <c r="F151" s="23" t="s">
        <v>10</v>
      </c>
      <c r="G151" s="188"/>
      <c r="H151" s="176" t="s">
        <v>495</v>
      </c>
      <c r="I151" s="176" t="s">
        <v>285</v>
      </c>
      <c r="J151" s="25">
        <v>4017102355</v>
      </c>
      <c r="K151" s="188">
        <v>33961</v>
      </c>
      <c r="L151" s="23" t="s">
        <v>1410</v>
      </c>
      <c r="M151" s="23" t="s">
        <v>10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</row>
    <row r="152" spans="1:31" x14ac:dyDescent="0.3">
      <c r="A152" s="176" t="s">
        <v>496</v>
      </c>
      <c r="B152" s="176" t="s">
        <v>497</v>
      </c>
      <c r="C152" s="25">
        <v>6158527032</v>
      </c>
      <c r="D152" s="188">
        <v>28848</v>
      </c>
      <c r="E152" s="23" t="s">
        <v>1291</v>
      </c>
      <c r="F152" s="23" t="s">
        <v>33</v>
      </c>
      <c r="G152" s="188"/>
      <c r="H152" s="176" t="s">
        <v>496</v>
      </c>
      <c r="I152" s="176" t="s">
        <v>497</v>
      </c>
      <c r="J152" s="25">
        <v>6158527032</v>
      </c>
      <c r="K152" s="188">
        <v>28848</v>
      </c>
      <c r="L152" s="23" t="s">
        <v>1291</v>
      </c>
      <c r="M152" s="23" t="s">
        <v>33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</row>
    <row r="153" spans="1:31" x14ac:dyDescent="0.3">
      <c r="A153" s="176" t="s">
        <v>498</v>
      </c>
      <c r="B153" s="176" t="s">
        <v>499</v>
      </c>
      <c r="C153" s="25">
        <v>3157430732</v>
      </c>
      <c r="D153" s="188">
        <v>30631</v>
      </c>
      <c r="E153" s="23" t="s">
        <v>1406</v>
      </c>
      <c r="F153" s="23" t="s">
        <v>6</v>
      </c>
      <c r="G153" s="188"/>
      <c r="H153" s="176" t="s">
        <v>498</v>
      </c>
      <c r="I153" s="176" t="s">
        <v>499</v>
      </c>
      <c r="J153" s="25">
        <v>3157430732</v>
      </c>
      <c r="K153" s="188">
        <v>30631</v>
      </c>
      <c r="L153" s="23" t="s">
        <v>1406</v>
      </c>
      <c r="M153" s="23" t="s">
        <v>6</v>
      </c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</row>
    <row r="154" spans="1:31" x14ac:dyDescent="0.3">
      <c r="A154" s="176" t="s">
        <v>188</v>
      </c>
      <c r="B154" s="176" t="s">
        <v>500</v>
      </c>
      <c r="C154" s="25">
        <v>3026109756</v>
      </c>
      <c r="D154" s="188">
        <v>28311</v>
      </c>
      <c r="E154" s="23" t="s">
        <v>1411</v>
      </c>
      <c r="F154" s="23" t="s">
        <v>6</v>
      </c>
      <c r="G154" s="188"/>
      <c r="H154" s="176" t="s">
        <v>188</v>
      </c>
      <c r="I154" s="176" t="s">
        <v>500</v>
      </c>
      <c r="J154" s="25">
        <v>3026109756</v>
      </c>
      <c r="K154" s="188">
        <v>28311</v>
      </c>
      <c r="L154" s="23" t="s">
        <v>1411</v>
      </c>
      <c r="M154" s="23" t="s">
        <v>6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</row>
    <row r="155" spans="1:31" x14ac:dyDescent="0.3">
      <c r="A155" s="176" t="s">
        <v>501</v>
      </c>
      <c r="B155" s="176" t="s">
        <v>502</v>
      </c>
      <c r="C155" s="25">
        <v>7052168237</v>
      </c>
      <c r="D155" s="188">
        <v>29702</v>
      </c>
      <c r="E155" s="23" t="s">
        <v>1412</v>
      </c>
      <c r="F155" s="23" t="s">
        <v>10</v>
      </c>
      <c r="G155" s="188"/>
      <c r="H155" s="176" t="s">
        <v>501</v>
      </c>
      <c r="I155" s="176" t="s">
        <v>502</v>
      </c>
      <c r="J155" s="25">
        <v>7052168237</v>
      </c>
      <c r="K155" s="188">
        <v>29702</v>
      </c>
      <c r="L155" s="23" t="s">
        <v>1412</v>
      </c>
      <c r="M155" s="23" t="s">
        <v>10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</row>
    <row r="156" spans="1:31" x14ac:dyDescent="0.3">
      <c r="A156" s="176" t="s">
        <v>503</v>
      </c>
      <c r="B156" s="176" t="s">
        <v>504</v>
      </c>
      <c r="C156" s="25">
        <v>6041240785</v>
      </c>
      <c r="D156" s="188">
        <v>32694</v>
      </c>
      <c r="E156" s="23" t="s">
        <v>1413</v>
      </c>
      <c r="F156" s="23" t="s">
        <v>10</v>
      </c>
      <c r="G156" s="188"/>
      <c r="H156" s="176" t="s">
        <v>503</v>
      </c>
      <c r="I156" s="176" t="s">
        <v>504</v>
      </c>
      <c r="J156" s="25">
        <v>6041240785</v>
      </c>
      <c r="K156" s="188">
        <v>32694</v>
      </c>
      <c r="L156" s="23" t="s">
        <v>1413</v>
      </c>
      <c r="M156" s="23" t="s">
        <v>10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</row>
    <row r="157" spans="1:31" x14ac:dyDescent="0.3">
      <c r="A157" s="176" t="s">
        <v>505</v>
      </c>
      <c r="B157" s="176" t="s">
        <v>506</v>
      </c>
      <c r="C157" s="25">
        <v>8145691314</v>
      </c>
      <c r="D157" s="188">
        <v>27859</v>
      </c>
      <c r="E157" s="23" t="s">
        <v>1414</v>
      </c>
      <c r="F157" s="23" t="s">
        <v>18</v>
      </c>
      <c r="G157" s="188"/>
      <c r="H157" s="176" t="s">
        <v>505</v>
      </c>
      <c r="I157" s="176" t="s">
        <v>506</v>
      </c>
      <c r="J157" s="25">
        <v>8145691314</v>
      </c>
      <c r="K157" s="188">
        <v>27859</v>
      </c>
      <c r="L157" s="23" t="s">
        <v>1414</v>
      </c>
      <c r="M157" s="23" t="s">
        <v>18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</row>
    <row r="158" spans="1:31" x14ac:dyDescent="0.3">
      <c r="A158" s="176" t="s">
        <v>507</v>
      </c>
      <c r="B158" s="176" t="s">
        <v>499</v>
      </c>
      <c r="C158" s="25">
        <v>5137819805</v>
      </c>
      <c r="D158" s="188">
        <v>27858</v>
      </c>
      <c r="E158" s="23" t="s">
        <v>1415</v>
      </c>
      <c r="F158" s="23" t="s">
        <v>10</v>
      </c>
      <c r="G158" s="188"/>
      <c r="H158" s="176" t="s">
        <v>507</v>
      </c>
      <c r="I158" s="176" t="s">
        <v>499</v>
      </c>
      <c r="J158" s="25">
        <v>5137819805</v>
      </c>
      <c r="K158" s="188">
        <v>27858</v>
      </c>
      <c r="L158" s="23" t="s">
        <v>1415</v>
      </c>
      <c r="M158" s="23" t="s">
        <v>10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</row>
    <row r="159" spans="1:31" x14ac:dyDescent="0.3">
      <c r="A159" s="176" t="s">
        <v>508</v>
      </c>
      <c r="B159" s="176" t="s">
        <v>509</v>
      </c>
      <c r="C159" s="25">
        <v>4128651774</v>
      </c>
      <c r="D159" s="188">
        <v>35747</v>
      </c>
      <c r="E159" s="23" t="s">
        <v>1310</v>
      </c>
      <c r="F159" s="23" t="s">
        <v>6</v>
      </c>
      <c r="G159" s="188"/>
      <c r="H159" s="176" t="s">
        <v>508</v>
      </c>
      <c r="I159" s="176" t="s">
        <v>509</v>
      </c>
      <c r="J159" s="25">
        <v>4128651774</v>
      </c>
      <c r="K159" s="188">
        <v>35747</v>
      </c>
      <c r="L159" s="23" t="s">
        <v>1310</v>
      </c>
      <c r="M159" s="23" t="s">
        <v>6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</row>
    <row r="160" spans="1:31" x14ac:dyDescent="0.3">
      <c r="A160" s="176" t="s">
        <v>510</v>
      </c>
      <c r="B160" s="176" t="s">
        <v>288</v>
      </c>
      <c r="C160" s="25">
        <v>7063858464</v>
      </c>
      <c r="D160" s="188">
        <v>29671</v>
      </c>
      <c r="E160" s="23" t="s">
        <v>1416</v>
      </c>
      <c r="F160" s="23" t="s">
        <v>10</v>
      </c>
      <c r="G160" s="188"/>
      <c r="H160" s="176" t="s">
        <v>510</v>
      </c>
      <c r="I160" s="176" t="s">
        <v>288</v>
      </c>
      <c r="J160" s="25">
        <v>7063858464</v>
      </c>
      <c r="K160" s="188">
        <v>29671</v>
      </c>
      <c r="L160" s="23" t="s">
        <v>1416</v>
      </c>
      <c r="M160" s="23" t="s">
        <v>10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</row>
    <row r="161" spans="1:31" x14ac:dyDescent="0.3">
      <c r="A161" s="176" t="s">
        <v>511</v>
      </c>
      <c r="B161" s="176" t="s">
        <v>512</v>
      </c>
      <c r="C161" s="25">
        <v>3025255121</v>
      </c>
      <c r="D161" s="188">
        <v>35708</v>
      </c>
      <c r="E161" s="23" t="s">
        <v>1417</v>
      </c>
      <c r="F161" s="23" t="s">
        <v>10</v>
      </c>
      <c r="G161" s="188"/>
      <c r="H161" s="176" t="s">
        <v>511</v>
      </c>
      <c r="I161" s="176" t="s">
        <v>512</v>
      </c>
      <c r="J161" s="25">
        <v>3025255121</v>
      </c>
      <c r="K161" s="188">
        <v>35708</v>
      </c>
      <c r="L161" s="23" t="s">
        <v>1417</v>
      </c>
      <c r="M161" s="23" t="s">
        <v>10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</row>
    <row r="162" spans="1:31" x14ac:dyDescent="0.3">
      <c r="A162" s="176" t="s">
        <v>513</v>
      </c>
      <c r="B162" s="176" t="s">
        <v>514</v>
      </c>
      <c r="C162" s="25">
        <v>6122064219</v>
      </c>
      <c r="D162" s="188">
        <v>28497</v>
      </c>
      <c r="E162" s="23" t="s">
        <v>1418</v>
      </c>
      <c r="F162" s="23" t="s">
        <v>6</v>
      </c>
      <c r="G162" s="188"/>
      <c r="H162" s="176" t="s">
        <v>513</v>
      </c>
      <c r="I162" s="176" t="s">
        <v>514</v>
      </c>
      <c r="J162" s="25">
        <v>6122064219</v>
      </c>
      <c r="K162" s="188">
        <v>28497</v>
      </c>
      <c r="L162" s="23" t="s">
        <v>1418</v>
      </c>
      <c r="M162" s="23" t="s">
        <v>6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</row>
    <row r="163" spans="1:31" x14ac:dyDescent="0.3">
      <c r="A163" s="176" t="s">
        <v>515</v>
      </c>
      <c r="B163" s="176" t="s">
        <v>516</v>
      </c>
      <c r="C163" s="25">
        <v>7152375580</v>
      </c>
      <c r="D163" s="188">
        <v>29369</v>
      </c>
      <c r="E163" s="23" t="s">
        <v>1419</v>
      </c>
      <c r="F163" s="23" t="s">
        <v>10</v>
      </c>
      <c r="G163" s="188"/>
      <c r="H163" s="176" t="s">
        <v>515</v>
      </c>
      <c r="I163" s="176" t="s">
        <v>516</v>
      </c>
      <c r="J163" s="25">
        <v>7152375580</v>
      </c>
      <c r="K163" s="188">
        <v>29369</v>
      </c>
      <c r="L163" s="23" t="s">
        <v>1419</v>
      </c>
      <c r="M163" s="23" t="s">
        <v>10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</row>
    <row r="164" spans="1:31" x14ac:dyDescent="0.3">
      <c r="A164" s="176" t="s">
        <v>517</v>
      </c>
      <c r="B164" s="176" t="s">
        <v>399</v>
      </c>
      <c r="C164" s="25">
        <v>7014998145</v>
      </c>
      <c r="D164" s="188">
        <v>29787</v>
      </c>
      <c r="E164" s="23" t="s">
        <v>1420</v>
      </c>
      <c r="F164" s="23" t="s">
        <v>6</v>
      </c>
      <c r="G164" s="188"/>
      <c r="H164" s="176" t="s">
        <v>517</v>
      </c>
      <c r="I164" s="176" t="s">
        <v>399</v>
      </c>
      <c r="J164" s="25">
        <v>7014998145</v>
      </c>
      <c r="K164" s="188">
        <v>29787</v>
      </c>
      <c r="L164" s="23" t="s">
        <v>1420</v>
      </c>
      <c r="M164" s="23" t="s">
        <v>6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</row>
    <row r="165" spans="1:31" x14ac:dyDescent="0.3">
      <c r="A165" s="176" t="s">
        <v>518</v>
      </c>
      <c r="B165" s="176" t="s">
        <v>519</v>
      </c>
      <c r="C165" s="25">
        <v>9073517837</v>
      </c>
      <c r="D165" s="188">
        <v>35194</v>
      </c>
      <c r="E165" s="23" t="s">
        <v>1421</v>
      </c>
      <c r="F165" s="23" t="s">
        <v>10</v>
      </c>
      <c r="G165" s="188"/>
      <c r="H165" s="176" t="s">
        <v>518</v>
      </c>
      <c r="I165" s="176" t="s">
        <v>519</v>
      </c>
      <c r="J165" s="25">
        <v>9073517837</v>
      </c>
      <c r="K165" s="188">
        <v>35194</v>
      </c>
      <c r="L165" s="23" t="s">
        <v>1421</v>
      </c>
      <c r="M165" s="23" t="s">
        <v>10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</row>
    <row r="166" spans="1:31" x14ac:dyDescent="0.3">
      <c r="A166" s="176" t="s">
        <v>520</v>
      </c>
      <c r="B166" s="176" t="s">
        <v>521</v>
      </c>
      <c r="C166" s="25">
        <v>2054680033</v>
      </c>
      <c r="D166" s="188">
        <v>28025</v>
      </c>
      <c r="E166" s="23" t="s">
        <v>1422</v>
      </c>
      <c r="F166" s="23" t="s">
        <v>6</v>
      </c>
      <c r="G166" s="188"/>
      <c r="H166" s="176" t="s">
        <v>520</v>
      </c>
      <c r="I166" s="176" t="s">
        <v>521</v>
      </c>
      <c r="J166" s="25">
        <v>2054680033</v>
      </c>
      <c r="K166" s="188">
        <v>28025</v>
      </c>
      <c r="L166" s="23" t="s">
        <v>1422</v>
      </c>
      <c r="M166" s="23" t="s">
        <v>6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</row>
    <row r="167" spans="1:31" x14ac:dyDescent="0.3">
      <c r="A167" s="176" t="s">
        <v>522</v>
      </c>
      <c r="B167" s="176" t="s">
        <v>285</v>
      </c>
      <c r="C167" s="25">
        <v>8046479087</v>
      </c>
      <c r="D167" s="188">
        <v>27920</v>
      </c>
      <c r="E167" s="23" t="s">
        <v>1423</v>
      </c>
      <c r="F167" s="23" t="s">
        <v>10</v>
      </c>
      <c r="G167" s="188"/>
      <c r="H167" s="176" t="s">
        <v>522</v>
      </c>
      <c r="I167" s="176" t="s">
        <v>285</v>
      </c>
      <c r="J167" s="25">
        <v>8046479087</v>
      </c>
      <c r="K167" s="188">
        <v>27920</v>
      </c>
      <c r="L167" s="23" t="s">
        <v>1423</v>
      </c>
      <c r="M167" s="23" t="s">
        <v>10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</row>
    <row r="168" spans="1:31" x14ac:dyDescent="0.3">
      <c r="A168" s="176" t="s">
        <v>523</v>
      </c>
      <c r="B168" s="176" t="s">
        <v>524</v>
      </c>
      <c r="C168" s="25">
        <v>6064734960</v>
      </c>
      <c r="D168" s="188">
        <v>28613</v>
      </c>
      <c r="E168" s="23" t="s">
        <v>1424</v>
      </c>
      <c r="F168" s="23" t="s">
        <v>10</v>
      </c>
      <c r="G168" s="188"/>
      <c r="H168" s="176" t="s">
        <v>523</v>
      </c>
      <c r="I168" s="176" t="s">
        <v>524</v>
      </c>
      <c r="J168" s="25">
        <v>6064734960</v>
      </c>
      <c r="K168" s="188">
        <v>28613</v>
      </c>
      <c r="L168" s="23" t="s">
        <v>1424</v>
      </c>
      <c r="M168" s="23" t="s">
        <v>10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</row>
    <row r="169" spans="1:31" x14ac:dyDescent="0.3">
      <c r="A169" s="176" t="s">
        <v>525</v>
      </c>
      <c r="B169" s="176" t="s">
        <v>526</v>
      </c>
      <c r="C169" s="25">
        <v>9141711684</v>
      </c>
      <c r="D169" s="188">
        <v>28933</v>
      </c>
      <c r="E169" s="23" t="s">
        <v>1425</v>
      </c>
      <c r="F169" s="23" t="s">
        <v>10</v>
      </c>
      <c r="G169" s="188"/>
      <c r="H169" s="176" t="s">
        <v>525</v>
      </c>
      <c r="I169" s="176" t="s">
        <v>526</v>
      </c>
      <c r="J169" s="25">
        <v>9141711684</v>
      </c>
      <c r="K169" s="188">
        <v>28933</v>
      </c>
      <c r="L169" s="23" t="s">
        <v>1425</v>
      </c>
      <c r="M169" s="23" t="s">
        <v>10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</row>
    <row r="170" spans="1:31" x14ac:dyDescent="0.3">
      <c r="A170" s="176" t="s">
        <v>527</v>
      </c>
      <c r="B170" s="176" t="s">
        <v>528</v>
      </c>
      <c r="C170" s="25">
        <v>6048652588</v>
      </c>
      <c r="D170" s="188">
        <v>29787</v>
      </c>
      <c r="E170" s="23" t="s">
        <v>1426</v>
      </c>
      <c r="F170" s="23" t="s">
        <v>10</v>
      </c>
      <c r="G170" s="188"/>
      <c r="H170" s="176" t="s">
        <v>527</v>
      </c>
      <c r="I170" s="176" t="s">
        <v>528</v>
      </c>
      <c r="J170" s="25">
        <v>6048652588</v>
      </c>
      <c r="K170" s="188">
        <v>29787</v>
      </c>
      <c r="L170" s="23" t="s">
        <v>1426</v>
      </c>
      <c r="M170" s="23" t="s">
        <v>10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</row>
    <row r="171" spans="1:31" x14ac:dyDescent="0.3">
      <c r="A171" s="176" t="s">
        <v>529</v>
      </c>
      <c r="B171" s="176" t="s">
        <v>530</v>
      </c>
      <c r="C171" s="25">
        <v>6088399625</v>
      </c>
      <c r="D171" s="188">
        <v>30496</v>
      </c>
      <c r="E171" s="23" t="s">
        <v>1427</v>
      </c>
      <c r="F171" s="23" t="s">
        <v>10</v>
      </c>
      <c r="G171" s="188"/>
      <c r="H171" s="176" t="s">
        <v>529</v>
      </c>
      <c r="I171" s="176" t="s">
        <v>530</v>
      </c>
      <c r="J171" s="25">
        <v>6088399625</v>
      </c>
      <c r="K171" s="188">
        <v>30496</v>
      </c>
      <c r="L171" s="23" t="s">
        <v>1427</v>
      </c>
      <c r="M171" s="23" t="s">
        <v>10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</row>
    <row r="172" spans="1:31" x14ac:dyDescent="0.3">
      <c r="A172" s="176" t="s">
        <v>190</v>
      </c>
      <c r="B172" s="176" t="s">
        <v>531</v>
      </c>
      <c r="C172" s="25">
        <v>8196060038</v>
      </c>
      <c r="D172" s="188">
        <v>34693</v>
      </c>
      <c r="E172" s="23" t="s">
        <v>1428</v>
      </c>
      <c r="F172" s="23" t="s">
        <v>18</v>
      </c>
      <c r="G172" s="188"/>
      <c r="H172" s="176" t="s">
        <v>190</v>
      </c>
      <c r="I172" s="176" t="s">
        <v>531</v>
      </c>
      <c r="J172" s="25">
        <v>8196060038</v>
      </c>
      <c r="K172" s="188">
        <v>34693</v>
      </c>
      <c r="L172" s="23" t="s">
        <v>1428</v>
      </c>
      <c r="M172" s="23" t="s">
        <v>18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</row>
    <row r="173" spans="1:31" x14ac:dyDescent="0.3">
      <c r="A173" s="176" t="s">
        <v>532</v>
      </c>
      <c r="B173" s="176" t="s">
        <v>533</v>
      </c>
      <c r="C173" s="25">
        <v>6066965088</v>
      </c>
      <c r="D173" s="188">
        <v>29899</v>
      </c>
      <c r="E173" s="23" t="s">
        <v>1429</v>
      </c>
      <c r="F173" s="23" t="s">
        <v>10</v>
      </c>
      <c r="G173" s="188"/>
      <c r="H173" s="176" t="s">
        <v>532</v>
      </c>
      <c r="I173" s="176" t="s">
        <v>533</v>
      </c>
      <c r="J173" s="25">
        <v>6066965088</v>
      </c>
      <c r="K173" s="188">
        <v>29899</v>
      </c>
      <c r="L173" s="23" t="s">
        <v>1429</v>
      </c>
      <c r="M173" s="23" t="s">
        <v>10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</row>
    <row r="174" spans="1:31" x14ac:dyDescent="0.3">
      <c r="A174" s="176" t="s">
        <v>534</v>
      </c>
      <c r="B174" s="176" t="s">
        <v>535</v>
      </c>
      <c r="C174" s="25">
        <v>4015394899</v>
      </c>
      <c r="D174" s="188">
        <v>33339</v>
      </c>
      <c r="E174" s="23" t="s">
        <v>1430</v>
      </c>
      <c r="F174" s="23" t="s">
        <v>6</v>
      </c>
      <c r="G174" s="188"/>
      <c r="H174" s="176" t="s">
        <v>534</v>
      </c>
      <c r="I174" s="176" t="s">
        <v>535</v>
      </c>
      <c r="J174" s="25">
        <v>4015394899</v>
      </c>
      <c r="K174" s="188">
        <v>33339</v>
      </c>
      <c r="L174" s="23" t="s">
        <v>1430</v>
      </c>
      <c r="M174" s="23" t="s">
        <v>6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</row>
    <row r="175" spans="1:31" x14ac:dyDescent="0.3">
      <c r="A175" s="176" t="s">
        <v>536</v>
      </c>
      <c r="B175" s="176" t="s">
        <v>537</v>
      </c>
      <c r="C175" s="25">
        <v>9034629606</v>
      </c>
      <c r="D175" s="188">
        <v>34836</v>
      </c>
      <c r="E175" s="23" t="s">
        <v>1431</v>
      </c>
      <c r="F175" s="23" t="s">
        <v>10</v>
      </c>
      <c r="G175" s="188"/>
      <c r="H175" s="176" t="s">
        <v>536</v>
      </c>
      <c r="I175" s="176" t="s">
        <v>537</v>
      </c>
      <c r="J175" s="25">
        <v>9034629606</v>
      </c>
      <c r="K175" s="188">
        <v>34836</v>
      </c>
      <c r="L175" s="23" t="s">
        <v>1431</v>
      </c>
      <c r="M175" s="23" t="s">
        <v>10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</row>
    <row r="176" spans="1:31" x14ac:dyDescent="0.3">
      <c r="A176" s="176" t="s">
        <v>538</v>
      </c>
      <c r="B176" s="176" t="s">
        <v>539</v>
      </c>
      <c r="C176" s="25">
        <v>2185818082</v>
      </c>
      <c r="D176" s="188">
        <v>30039</v>
      </c>
      <c r="E176" s="23" t="s">
        <v>1432</v>
      </c>
      <c r="F176" s="23" t="s">
        <v>10</v>
      </c>
      <c r="G176" s="188"/>
      <c r="H176" s="176" t="s">
        <v>538</v>
      </c>
      <c r="I176" s="176" t="s">
        <v>539</v>
      </c>
      <c r="J176" s="25">
        <v>2185818082</v>
      </c>
      <c r="K176" s="188">
        <v>30039</v>
      </c>
      <c r="L176" s="23" t="s">
        <v>1432</v>
      </c>
      <c r="M176" s="23" t="s">
        <v>10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</row>
    <row r="177" spans="1:31" x14ac:dyDescent="0.3">
      <c r="A177" s="176" t="s">
        <v>540</v>
      </c>
      <c r="B177" s="176" t="s">
        <v>541</v>
      </c>
      <c r="C177" s="25">
        <v>8182969056</v>
      </c>
      <c r="D177" s="188">
        <v>29379</v>
      </c>
      <c r="E177" s="23" t="s">
        <v>1433</v>
      </c>
      <c r="F177" s="23" t="s">
        <v>10</v>
      </c>
      <c r="G177" s="188"/>
      <c r="H177" s="176" t="s">
        <v>540</v>
      </c>
      <c r="I177" s="176" t="s">
        <v>541</v>
      </c>
      <c r="J177" s="25">
        <v>8182969056</v>
      </c>
      <c r="K177" s="188">
        <v>29379</v>
      </c>
      <c r="L177" s="23" t="s">
        <v>1433</v>
      </c>
      <c r="M177" s="23" t="s">
        <v>10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</row>
    <row r="178" spans="1:31" x14ac:dyDescent="0.3">
      <c r="A178" s="176" t="s">
        <v>542</v>
      </c>
      <c r="B178" s="176" t="s">
        <v>285</v>
      </c>
      <c r="C178" s="25">
        <v>5054733288</v>
      </c>
      <c r="D178" s="188">
        <v>35625</v>
      </c>
      <c r="E178" s="23" t="s">
        <v>1434</v>
      </c>
      <c r="F178" s="23" t="s">
        <v>6</v>
      </c>
      <c r="G178" s="188"/>
      <c r="H178" s="176" t="s">
        <v>542</v>
      </c>
      <c r="I178" s="176" t="s">
        <v>285</v>
      </c>
      <c r="J178" s="25">
        <v>5054733288</v>
      </c>
      <c r="K178" s="188">
        <v>35625</v>
      </c>
      <c r="L178" s="23" t="s">
        <v>1434</v>
      </c>
      <c r="M178" s="23" t="s">
        <v>6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</row>
    <row r="179" spans="1:31" x14ac:dyDescent="0.3">
      <c r="A179" s="176" t="s">
        <v>543</v>
      </c>
      <c r="B179" s="176" t="s">
        <v>544</v>
      </c>
      <c r="C179" s="25">
        <v>6144273090</v>
      </c>
      <c r="D179" s="188">
        <v>29487</v>
      </c>
      <c r="E179" s="23" t="s">
        <v>1435</v>
      </c>
      <c r="F179" s="23" t="s">
        <v>10</v>
      </c>
      <c r="G179" s="188"/>
      <c r="H179" s="176" t="s">
        <v>543</v>
      </c>
      <c r="I179" s="176" t="s">
        <v>544</v>
      </c>
      <c r="J179" s="25">
        <v>6144273090</v>
      </c>
      <c r="K179" s="188">
        <v>29487</v>
      </c>
      <c r="L179" s="23" t="s">
        <v>1435</v>
      </c>
      <c r="M179" s="23" t="s">
        <v>10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</row>
    <row r="180" spans="1:31" x14ac:dyDescent="0.3">
      <c r="A180" s="176" t="s">
        <v>545</v>
      </c>
      <c r="B180" s="176" t="s">
        <v>506</v>
      </c>
      <c r="C180" s="25">
        <v>9171614846</v>
      </c>
      <c r="D180" s="188">
        <v>28537</v>
      </c>
      <c r="E180" s="23" t="s">
        <v>1436</v>
      </c>
      <c r="F180" s="23" t="s">
        <v>10</v>
      </c>
      <c r="G180" s="188"/>
      <c r="H180" s="176" t="s">
        <v>545</v>
      </c>
      <c r="I180" s="176" t="s">
        <v>506</v>
      </c>
      <c r="J180" s="25">
        <v>9171614846</v>
      </c>
      <c r="K180" s="188">
        <v>28537</v>
      </c>
      <c r="L180" s="23" t="s">
        <v>1436</v>
      </c>
      <c r="M180" s="23" t="s">
        <v>10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</row>
    <row r="181" spans="1:31" x14ac:dyDescent="0.3">
      <c r="A181" s="176" t="s">
        <v>546</v>
      </c>
      <c r="B181" s="176" t="s">
        <v>547</v>
      </c>
      <c r="C181" s="25">
        <v>8057230063</v>
      </c>
      <c r="D181" s="188">
        <v>30367</v>
      </c>
      <c r="E181" s="23" t="s">
        <v>1437</v>
      </c>
      <c r="F181" s="23" t="s">
        <v>10</v>
      </c>
      <c r="G181" s="188"/>
      <c r="H181" s="176" t="s">
        <v>546</v>
      </c>
      <c r="I181" s="176" t="s">
        <v>547</v>
      </c>
      <c r="J181" s="25">
        <v>8057230063</v>
      </c>
      <c r="K181" s="188">
        <v>30367</v>
      </c>
      <c r="L181" s="23" t="s">
        <v>1437</v>
      </c>
      <c r="M181" s="23" t="s">
        <v>10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</row>
    <row r="182" spans="1:31" x14ac:dyDescent="0.3">
      <c r="A182" s="176" t="s">
        <v>548</v>
      </c>
      <c r="B182" s="176" t="s">
        <v>509</v>
      </c>
      <c r="C182" s="25">
        <v>5191257896</v>
      </c>
      <c r="D182" s="188">
        <v>31933</v>
      </c>
      <c r="E182" s="23" t="s">
        <v>1438</v>
      </c>
      <c r="F182" s="23" t="s">
        <v>10</v>
      </c>
      <c r="G182" s="188"/>
      <c r="H182" s="176" t="s">
        <v>548</v>
      </c>
      <c r="I182" s="176" t="s">
        <v>509</v>
      </c>
      <c r="J182" s="25">
        <v>5191257896</v>
      </c>
      <c r="K182" s="188">
        <v>31933</v>
      </c>
      <c r="L182" s="23" t="s">
        <v>1438</v>
      </c>
      <c r="M182" s="23" t="s">
        <v>10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</row>
    <row r="183" spans="1:31" x14ac:dyDescent="0.3">
      <c r="A183" s="176" t="s">
        <v>549</v>
      </c>
      <c r="B183" s="176" t="s">
        <v>550</v>
      </c>
      <c r="C183" s="25">
        <v>2115796953</v>
      </c>
      <c r="D183" s="188">
        <v>32417</v>
      </c>
      <c r="E183" s="23" t="s">
        <v>1439</v>
      </c>
      <c r="F183" s="23" t="s">
        <v>6</v>
      </c>
      <c r="G183" s="188"/>
      <c r="H183" s="176" t="s">
        <v>549</v>
      </c>
      <c r="I183" s="176" t="s">
        <v>550</v>
      </c>
      <c r="J183" s="25">
        <v>2115796953</v>
      </c>
      <c r="K183" s="188">
        <v>32417</v>
      </c>
      <c r="L183" s="23" t="s">
        <v>1439</v>
      </c>
      <c r="M183" s="23" t="s">
        <v>6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</row>
    <row r="184" spans="1:31" x14ac:dyDescent="0.3">
      <c r="A184" s="176" t="s">
        <v>551</v>
      </c>
      <c r="B184" s="176" t="s">
        <v>346</v>
      </c>
      <c r="C184" s="25">
        <v>5084361873</v>
      </c>
      <c r="D184" s="188">
        <v>32648</v>
      </c>
      <c r="E184" s="23" t="s">
        <v>1440</v>
      </c>
      <c r="F184" s="23" t="s">
        <v>6</v>
      </c>
      <c r="G184" s="188"/>
      <c r="H184" s="176" t="s">
        <v>551</v>
      </c>
      <c r="I184" s="176" t="s">
        <v>346</v>
      </c>
      <c r="J184" s="25">
        <v>5084361873</v>
      </c>
      <c r="K184" s="188">
        <v>32648</v>
      </c>
      <c r="L184" s="23" t="s">
        <v>1440</v>
      </c>
      <c r="M184" s="23" t="s">
        <v>6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</row>
    <row r="185" spans="1:31" x14ac:dyDescent="0.3">
      <c r="A185" s="176" t="s">
        <v>552</v>
      </c>
      <c r="B185" s="176" t="s">
        <v>314</v>
      </c>
      <c r="C185" s="25">
        <v>7118314799</v>
      </c>
      <c r="D185" s="188">
        <v>32663</v>
      </c>
      <c r="E185" s="23" t="s">
        <v>1441</v>
      </c>
      <c r="F185" s="23" t="s">
        <v>33</v>
      </c>
      <c r="G185" s="188"/>
      <c r="H185" s="176" t="s">
        <v>552</v>
      </c>
      <c r="I185" s="176" t="s">
        <v>314</v>
      </c>
      <c r="J185" s="25">
        <v>7118314799</v>
      </c>
      <c r="K185" s="188">
        <v>32663</v>
      </c>
      <c r="L185" s="23" t="s">
        <v>1441</v>
      </c>
      <c r="M185" s="23" t="s">
        <v>33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</row>
    <row r="186" spans="1:31" x14ac:dyDescent="0.3">
      <c r="A186" s="176" t="s">
        <v>553</v>
      </c>
      <c r="B186" s="176" t="s">
        <v>421</v>
      </c>
      <c r="C186" s="25">
        <v>8022490678</v>
      </c>
      <c r="D186" s="188">
        <v>32789</v>
      </c>
      <c r="E186" s="23" t="s">
        <v>1442</v>
      </c>
      <c r="F186" s="23" t="s">
        <v>10</v>
      </c>
      <c r="G186" s="188"/>
      <c r="H186" s="176" t="s">
        <v>553</v>
      </c>
      <c r="I186" s="176" t="s">
        <v>421</v>
      </c>
      <c r="J186" s="25">
        <v>8022490678</v>
      </c>
      <c r="K186" s="188">
        <v>32789</v>
      </c>
      <c r="L186" s="23" t="s">
        <v>1442</v>
      </c>
      <c r="M186" s="23" t="s">
        <v>10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</row>
    <row r="187" spans="1:31" x14ac:dyDescent="0.3">
      <c r="A187" s="176" t="s">
        <v>554</v>
      </c>
      <c r="B187" s="176" t="s">
        <v>555</v>
      </c>
      <c r="C187" s="25">
        <v>9111957923</v>
      </c>
      <c r="D187" s="188">
        <v>32694</v>
      </c>
      <c r="E187" s="23" t="s">
        <v>1443</v>
      </c>
      <c r="F187" s="23" t="s">
        <v>10</v>
      </c>
      <c r="G187" s="188"/>
      <c r="H187" s="176" t="s">
        <v>554</v>
      </c>
      <c r="I187" s="176" t="s">
        <v>555</v>
      </c>
      <c r="J187" s="25">
        <v>9111957923</v>
      </c>
      <c r="K187" s="188">
        <v>32694</v>
      </c>
      <c r="L187" s="23" t="s">
        <v>1443</v>
      </c>
      <c r="M187" s="23" t="s">
        <v>10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</row>
    <row r="188" spans="1:31" x14ac:dyDescent="0.3">
      <c r="A188" s="176" t="s">
        <v>257</v>
      </c>
      <c r="B188" s="176" t="s">
        <v>258</v>
      </c>
      <c r="C188" s="25">
        <v>7041868104</v>
      </c>
      <c r="D188" s="188">
        <v>27859</v>
      </c>
      <c r="E188" s="23" t="s">
        <v>1444</v>
      </c>
      <c r="F188" s="23" t="s">
        <v>18</v>
      </c>
      <c r="G188" s="188"/>
      <c r="H188" s="176" t="s">
        <v>257</v>
      </c>
      <c r="I188" s="176" t="s">
        <v>258</v>
      </c>
      <c r="J188" s="25">
        <v>7041868104</v>
      </c>
      <c r="K188" s="188">
        <v>27859</v>
      </c>
      <c r="L188" s="23" t="s">
        <v>1444</v>
      </c>
      <c r="M188" s="23" t="s">
        <v>18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</row>
    <row r="189" spans="1:31" x14ac:dyDescent="0.3">
      <c r="A189" s="176" t="s">
        <v>556</v>
      </c>
      <c r="B189" s="176" t="s">
        <v>557</v>
      </c>
      <c r="C189" s="25">
        <v>2086500529</v>
      </c>
      <c r="D189" s="188">
        <v>27858</v>
      </c>
      <c r="E189" s="23" t="s">
        <v>1445</v>
      </c>
      <c r="F189" s="23" t="s">
        <v>10</v>
      </c>
      <c r="G189" s="188"/>
      <c r="H189" s="176" t="s">
        <v>556</v>
      </c>
      <c r="I189" s="176" t="s">
        <v>557</v>
      </c>
      <c r="J189" s="25">
        <v>2086500529</v>
      </c>
      <c r="K189" s="188">
        <v>27858</v>
      </c>
      <c r="L189" s="23" t="s">
        <v>1445</v>
      </c>
      <c r="M189" s="23" t="s">
        <v>10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</row>
    <row r="190" spans="1:31" x14ac:dyDescent="0.3">
      <c r="A190" s="176" t="s">
        <v>558</v>
      </c>
      <c r="B190" s="176" t="s">
        <v>559</v>
      </c>
      <c r="C190" s="25">
        <v>3065750692</v>
      </c>
      <c r="D190" s="188">
        <v>35747</v>
      </c>
      <c r="E190" s="23" t="s">
        <v>1446</v>
      </c>
      <c r="F190" s="23" t="s">
        <v>10</v>
      </c>
      <c r="G190" s="188"/>
      <c r="H190" s="176" t="s">
        <v>558</v>
      </c>
      <c r="I190" s="176" t="s">
        <v>559</v>
      </c>
      <c r="J190" s="25">
        <v>3065750692</v>
      </c>
      <c r="K190" s="188">
        <v>35747</v>
      </c>
      <c r="L190" s="23" t="s">
        <v>1446</v>
      </c>
      <c r="M190" s="23" t="s">
        <v>10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</row>
    <row r="191" spans="1:31" x14ac:dyDescent="0.3">
      <c r="A191" s="176" t="s">
        <v>560</v>
      </c>
      <c r="B191" s="176" t="s">
        <v>310</v>
      </c>
      <c r="C191" s="25">
        <v>2198046670</v>
      </c>
      <c r="D191" s="188">
        <v>29671</v>
      </c>
      <c r="E191" s="23" t="s">
        <v>1447</v>
      </c>
      <c r="F191" s="23" t="s">
        <v>10</v>
      </c>
      <c r="G191" s="188"/>
      <c r="H191" s="176" t="s">
        <v>560</v>
      </c>
      <c r="I191" s="176" t="s">
        <v>310</v>
      </c>
      <c r="J191" s="25">
        <v>2198046670</v>
      </c>
      <c r="K191" s="188">
        <v>29671</v>
      </c>
      <c r="L191" s="23" t="s">
        <v>1447</v>
      </c>
      <c r="M191" s="23" t="s">
        <v>10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</row>
    <row r="192" spans="1:31" x14ac:dyDescent="0.3">
      <c r="A192" s="176" t="s">
        <v>561</v>
      </c>
      <c r="B192" s="176" t="s">
        <v>562</v>
      </c>
      <c r="C192" s="25">
        <v>4058183445</v>
      </c>
      <c r="D192" s="188">
        <v>35708</v>
      </c>
      <c r="E192" s="23" t="s">
        <v>1448</v>
      </c>
      <c r="F192" s="23" t="s">
        <v>10</v>
      </c>
      <c r="G192" s="188"/>
      <c r="H192" s="176" t="s">
        <v>561</v>
      </c>
      <c r="I192" s="176" t="s">
        <v>562</v>
      </c>
      <c r="J192" s="25">
        <v>4058183445</v>
      </c>
      <c r="K192" s="188">
        <v>35708</v>
      </c>
      <c r="L192" s="23" t="s">
        <v>1448</v>
      </c>
      <c r="M192" s="23" t="s">
        <v>10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</row>
    <row r="193" spans="1:31" x14ac:dyDescent="0.3">
      <c r="A193" s="176" t="s">
        <v>563</v>
      </c>
      <c r="B193" s="176" t="s">
        <v>564</v>
      </c>
      <c r="C193" s="25">
        <v>2185119214</v>
      </c>
      <c r="D193" s="188">
        <v>28497</v>
      </c>
      <c r="E193" s="23" t="s">
        <v>1449</v>
      </c>
      <c r="F193" s="23" t="s">
        <v>10</v>
      </c>
      <c r="G193" s="188"/>
      <c r="H193" s="176" t="s">
        <v>563</v>
      </c>
      <c r="I193" s="176" t="s">
        <v>564</v>
      </c>
      <c r="J193" s="25">
        <v>2185119214</v>
      </c>
      <c r="K193" s="188">
        <v>28497</v>
      </c>
      <c r="L193" s="23" t="s">
        <v>1449</v>
      </c>
      <c r="M193" s="23" t="s">
        <v>10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</row>
    <row r="194" spans="1:31" x14ac:dyDescent="0.3">
      <c r="A194" s="176" t="s">
        <v>219</v>
      </c>
      <c r="B194" s="176" t="s">
        <v>423</v>
      </c>
      <c r="C194" s="25">
        <v>9015876028</v>
      </c>
      <c r="D194" s="188">
        <v>29369</v>
      </c>
      <c r="E194" s="23" t="s">
        <v>1450</v>
      </c>
      <c r="F194" s="23" t="s">
        <v>10</v>
      </c>
      <c r="G194" s="188"/>
      <c r="H194" s="176" t="s">
        <v>219</v>
      </c>
      <c r="I194" s="176" t="s">
        <v>423</v>
      </c>
      <c r="J194" s="25">
        <v>9015876028</v>
      </c>
      <c r="K194" s="188">
        <v>29369</v>
      </c>
      <c r="L194" s="23" t="s">
        <v>1450</v>
      </c>
      <c r="M194" s="23" t="s">
        <v>10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</row>
    <row r="195" spans="1:31" x14ac:dyDescent="0.3">
      <c r="A195" s="176" t="s">
        <v>565</v>
      </c>
      <c r="B195" s="176" t="s">
        <v>566</v>
      </c>
      <c r="C195" s="25">
        <v>8032416398</v>
      </c>
      <c r="D195" s="188">
        <v>29787</v>
      </c>
      <c r="E195" s="23" t="s">
        <v>1451</v>
      </c>
      <c r="F195" s="23" t="s">
        <v>10</v>
      </c>
      <c r="G195" s="188"/>
      <c r="H195" s="176" t="s">
        <v>565</v>
      </c>
      <c r="I195" s="176" t="s">
        <v>566</v>
      </c>
      <c r="J195" s="25">
        <v>8032416398</v>
      </c>
      <c r="K195" s="188">
        <v>29787</v>
      </c>
      <c r="L195" s="23" t="s">
        <v>1451</v>
      </c>
      <c r="M195" s="23" t="s">
        <v>10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</row>
    <row r="196" spans="1:31" x14ac:dyDescent="0.3">
      <c r="A196" s="176" t="s">
        <v>567</v>
      </c>
      <c r="B196" s="176" t="s">
        <v>271</v>
      </c>
      <c r="C196" s="25">
        <v>6033265407</v>
      </c>
      <c r="D196" s="188">
        <v>35194</v>
      </c>
      <c r="E196" s="23" t="s">
        <v>1452</v>
      </c>
      <c r="F196" s="23" t="s">
        <v>10</v>
      </c>
      <c r="G196" s="188"/>
      <c r="H196" s="176" t="s">
        <v>567</v>
      </c>
      <c r="I196" s="176" t="s">
        <v>271</v>
      </c>
      <c r="J196" s="25">
        <v>6033265407</v>
      </c>
      <c r="K196" s="188">
        <v>35194</v>
      </c>
      <c r="L196" s="23" t="s">
        <v>1452</v>
      </c>
      <c r="M196" s="23" t="s">
        <v>10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</row>
    <row r="197" spans="1:31" x14ac:dyDescent="0.3">
      <c r="A197" s="176" t="s">
        <v>568</v>
      </c>
      <c r="B197" s="176" t="s">
        <v>395</v>
      </c>
      <c r="C197" s="25">
        <v>8022712826</v>
      </c>
      <c r="D197" s="188">
        <v>28025</v>
      </c>
      <c r="E197" s="23" t="s">
        <v>1453</v>
      </c>
      <c r="F197" s="23" t="s">
        <v>10</v>
      </c>
      <c r="G197" s="188"/>
      <c r="H197" s="176" t="s">
        <v>568</v>
      </c>
      <c r="I197" s="176" t="s">
        <v>395</v>
      </c>
      <c r="J197" s="25">
        <v>8022712826</v>
      </c>
      <c r="K197" s="188">
        <v>28025</v>
      </c>
      <c r="L197" s="23" t="s">
        <v>1453</v>
      </c>
      <c r="M197" s="23" t="s">
        <v>10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</row>
    <row r="198" spans="1:31" x14ac:dyDescent="0.3">
      <c r="A198" s="176" t="s">
        <v>569</v>
      </c>
      <c r="B198" s="176" t="s">
        <v>570</v>
      </c>
      <c r="C198" s="25">
        <v>4034588703</v>
      </c>
      <c r="D198" s="188">
        <v>27920</v>
      </c>
      <c r="E198" s="23" t="s">
        <v>1454</v>
      </c>
      <c r="F198" s="23" t="s">
        <v>10</v>
      </c>
      <c r="G198" s="188"/>
      <c r="H198" s="176" t="s">
        <v>569</v>
      </c>
      <c r="I198" s="176" t="s">
        <v>570</v>
      </c>
      <c r="J198" s="25">
        <v>4034588703</v>
      </c>
      <c r="K198" s="188">
        <v>27920</v>
      </c>
      <c r="L198" s="23" t="s">
        <v>1454</v>
      </c>
      <c r="M198" s="23" t="s">
        <v>10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</row>
    <row r="199" spans="1:31" x14ac:dyDescent="0.3">
      <c r="A199" s="176" t="s">
        <v>571</v>
      </c>
      <c r="B199" s="176" t="s">
        <v>572</v>
      </c>
      <c r="C199" s="25">
        <v>2178038161</v>
      </c>
      <c r="D199" s="188">
        <v>28613</v>
      </c>
      <c r="E199" s="23" t="s">
        <v>1455</v>
      </c>
      <c r="F199" s="23" t="s">
        <v>6</v>
      </c>
      <c r="G199" s="188"/>
      <c r="H199" s="176" t="s">
        <v>571</v>
      </c>
      <c r="I199" s="176" t="s">
        <v>572</v>
      </c>
      <c r="J199" s="25">
        <v>2178038161</v>
      </c>
      <c r="K199" s="188">
        <v>28613</v>
      </c>
      <c r="L199" s="23" t="s">
        <v>1455</v>
      </c>
      <c r="M199" s="23" t="s">
        <v>6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</row>
    <row r="200" spans="1:31" x14ac:dyDescent="0.3">
      <c r="A200" s="176" t="s">
        <v>573</v>
      </c>
      <c r="B200" s="176" t="s">
        <v>574</v>
      </c>
      <c r="C200" s="25">
        <v>4054747044</v>
      </c>
      <c r="D200" s="188">
        <v>28933</v>
      </c>
      <c r="E200" s="23" t="s">
        <v>1456</v>
      </c>
      <c r="F200" s="23" t="s">
        <v>10</v>
      </c>
      <c r="G200" s="188"/>
      <c r="H200" s="176" t="s">
        <v>573</v>
      </c>
      <c r="I200" s="176" t="s">
        <v>574</v>
      </c>
      <c r="J200" s="25">
        <v>4054747044</v>
      </c>
      <c r="K200" s="188">
        <v>28933</v>
      </c>
      <c r="L200" s="23" t="s">
        <v>1456</v>
      </c>
      <c r="M200" s="23" t="s">
        <v>10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</row>
    <row r="201" spans="1:31" x14ac:dyDescent="0.3">
      <c r="A201" s="176" t="s">
        <v>575</v>
      </c>
      <c r="B201" s="176" t="s">
        <v>445</v>
      </c>
      <c r="C201" s="25">
        <v>2023883919</v>
      </c>
      <c r="D201" s="188">
        <v>29787</v>
      </c>
      <c r="E201" s="23" t="s">
        <v>1457</v>
      </c>
      <c r="F201" s="23" t="s">
        <v>6</v>
      </c>
      <c r="G201" s="188"/>
      <c r="H201" s="176" t="s">
        <v>575</v>
      </c>
      <c r="I201" s="176" t="s">
        <v>445</v>
      </c>
      <c r="J201" s="25">
        <v>2023883919</v>
      </c>
      <c r="K201" s="188">
        <v>29787</v>
      </c>
      <c r="L201" s="23" t="s">
        <v>1457</v>
      </c>
      <c r="M201" s="23" t="s">
        <v>6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</row>
    <row r="202" spans="1:31" x14ac:dyDescent="0.3">
      <c r="A202" s="176" t="s">
        <v>576</v>
      </c>
      <c r="B202" s="176" t="s">
        <v>577</v>
      </c>
      <c r="C202" s="25">
        <v>8162053579</v>
      </c>
      <c r="D202" s="188">
        <v>30496</v>
      </c>
      <c r="E202" s="23" t="s">
        <v>1458</v>
      </c>
      <c r="F202" s="23" t="s">
        <v>6</v>
      </c>
      <c r="G202" s="188"/>
      <c r="H202" s="176" t="s">
        <v>576</v>
      </c>
      <c r="I202" s="176" t="s">
        <v>577</v>
      </c>
      <c r="J202" s="25">
        <v>8162053579</v>
      </c>
      <c r="K202" s="188">
        <v>30496</v>
      </c>
      <c r="L202" s="23" t="s">
        <v>1458</v>
      </c>
      <c r="M202" s="23" t="s">
        <v>6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</row>
    <row r="203" spans="1:31" x14ac:dyDescent="0.3">
      <c r="A203" s="176" t="s">
        <v>578</v>
      </c>
      <c r="B203" s="176" t="s">
        <v>399</v>
      </c>
      <c r="C203" s="25">
        <v>7085197037</v>
      </c>
      <c r="D203" s="188">
        <v>34693</v>
      </c>
      <c r="E203" s="23" t="s">
        <v>1459</v>
      </c>
      <c r="F203" s="23" t="s">
        <v>10</v>
      </c>
      <c r="G203" s="188"/>
      <c r="H203" s="176" t="s">
        <v>578</v>
      </c>
      <c r="I203" s="176" t="s">
        <v>399</v>
      </c>
      <c r="J203" s="25">
        <v>7085197037</v>
      </c>
      <c r="K203" s="188">
        <v>34693</v>
      </c>
      <c r="L203" s="23" t="s">
        <v>1459</v>
      </c>
      <c r="M203" s="23" t="s">
        <v>10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</row>
    <row r="204" spans="1:31" x14ac:dyDescent="0.3">
      <c r="A204" s="176" t="s">
        <v>579</v>
      </c>
      <c r="B204" s="176" t="s">
        <v>580</v>
      </c>
      <c r="C204" s="25">
        <v>5137950668</v>
      </c>
      <c r="D204" s="188">
        <v>29899</v>
      </c>
      <c r="E204" s="23" t="s">
        <v>1460</v>
      </c>
      <c r="F204" s="23" t="s">
        <v>10</v>
      </c>
      <c r="G204" s="188"/>
      <c r="H204" s="176" t="s">
        <v>579</v>
      </c>
      <c r="I204" s="176" t="s">
        <v>580</v>
      </c>
      <c r="J204" s="25">
        <v>5137950668</v>
      </c>
      <c r="K204" s="188">
        <v>29899</v>
      </c>
      <c r="L204" s="23" t="s">
        <v>1460</v>
      </c>
      <c r="M204" s="23" t="s">
        <v>10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</row>
    <row r="205" spans="1:31" x14ac:dyDescent="0.3">
      <c r="A205" s="176" t="s">
        <v>581</v>
      </c>
      <c r="B205" s="176" t="s">
        <v>405</v>
      </c>
      <c r="C205" s="25">
        <v>6131628807</v>
      </c>
      <c r="D205" s="188">
        <v>33339</v>
      </c>
      <c r="E205" s="23" t="s">
        <v>1461</v>
      </c>
      <c r="F205" s="23" t="s">
        <v>10</v>
      </c>
      <c r="G205" s="188"/>
      <c r="H205" s="176" t="s">
        <v>581</v>
      </c>
      <c r="I205" s="176" t="s">
        <v>405</v>
      </c>
      <c r="J205" s="25">
        <v>6131628807</v>
      </c>
      <c r="K205" s="188">
        <v>33339</v>
      </c>
      <c r="L205" s="23" t="s">
        <v>1461</v>
      </c>
      <c r="M205" s="23" t="s">
        <v>10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</row>
    <row r="206" spans="1:31" x14ac:dyDescent="0.3">
      <c r="A206" s="176" t="s">
        <v>582</v>
      </c>
      <c r="B206" s="176" t="s">
        <v>405</v>
      </c>
      <c r="C206" s="25">
        <v>4114630903</v>
      </c>
      <c r="D206" s="188">
        <v>34836</v>
      </c>
      <c r="E206" s="23" t="s">
        <v>1462</v>
      </c>
      <c r="F206" s="23" t="s">
        <v>18</v>
      </c>
      <c r="G206" s="188"/>
      <c r="H206" s="176" t="s">
        <v>582</v>
      </c>
      <c r="I206" s="176" t="s">
        <v>405</v>
      </c>
      <c r="J206" s="25">
        <v>4114630903</v>
      </c>
      <c r="K206" s="188">
        <v>34836</v>
      </c>
      <c r="L206" s="23" t="s">
        <v>1462</v>
      </c>
      <c r="M206" s="23" t="s">
        <v>18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</row>
    <row r="207" spans="1:31" x14ac:dyDescent="0.3">
      <c r="A207" s="176" t="s">
        <v>583</v>
      </c>
      <c r="B207" s="176" t="s">
        <v>399</v>
      </c>
      <c r="C207" s="25">
        <v>4098545681</v>
      </c>
      <c r="D207" s="188">
        <v>30039</v>
      </c>
      <c r="E207" s="23" t="s">
        <v>1463</v>
      </c>
      <c r="F207" s="23" t="s">
        <v>10</v>
      </c>
      <c r="G207" s="188"/>
      <c r="H207" s="176" t="s">
        <v>583</v>
      </c>
      <c r="I207" s="176" t="s">
        <v>399</v>
      </c>
      <c r="J207" s="25">
        <v>4098545681</v>
      </c>
      <c r="K207" s="188">
        <v>30039</v>
      </c>
      <c r="L207" s="23" t="s">
        <v>1463</v>
      </c>
      <c r="M207" s="23" t="s">
        <v>10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</row>
    <row r="208" spans="1:31" x14ac:dyDescent="0.3">
      <c r="A208" s="176" t="s">
        <v>584</v>
      </c>
      <c r="B208" s="176" t="s">
        <v>585</v>
      </c>
      <c r="C208" s="25">
        <v>5197237007</v>
      </c>
      <c r="D208" s="188">
        <v>29379</v>
      </c>
      <c r="E208" s="23" t="s">
        <v>1464</v>
      </c>
      <c r="F208" s="23" t="s">
        <v>10</v>
      </c>
      <c r="G208" s="188"/>
      <c r="H208" s="176" t="s">
        <v>584</v>
      </c>
      <c r="I208" s="176" t="s">
        <v>585</v>
      </c>
      <c r="J208" s="25">
        <v>5197237007</v>
      </c>
      <c r="K208" s="188">
        <v>29379</v>
      </c>
      <c r="L208" s="23" t="s">
        <v>1464</v>
      </c>
      <c r="M208" s="23" t="s">
        <v>10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</row>
    <row r="209" spans="1:31" x14ac:dyDescent="0.3">
      <c r="A209" s="176" t="s">
        <v>586</v>
      </c>
      <c r="B209" s="176" t="s">
        <v>310</v>
      </c>
      <c r="C209" s="25">
        <v>7051351512</v>
      </c>
      <c r="D209" s="188">
        <v>35625</v>
      </c>
      <c r="E209" s="23" t="s">
        <v>1465</v>
      </c>
      <c r="F209" s="23" t="s">
        <v>10</v>
      </c>
      <c r="G209" s="188"/>
      <c r="H209" s="176" t="s">
        <v>586</v>
      </c>
      <c r="I209" s="176" t="s">
        <v>310</v>
      </c>
      <c r="J209" s="25">
        <v>7051351512</v>
      </c>
      <c r="K209" s="188">
        <v>35625</v>
      </c>
      <c r="L209" s="23" t="s">
        <v>1465</v>
      </c>
      <c r="M209" s="23" t="s">
        <v>10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</row>
    <row r="210" spans="1:31" x14ac:dyDescent="0.3">
      <c r="A210" s="176" t="s">
        <v>587</v>
      </c>
      <c r="B210" s="176" t="s">
        <v>411</v>
      </c>
      <c r="C210" s="25">
        <v>2064999647</v>
      </c>
      <c r="D210" s="188">
        <v>29487</v>
      </c>
      <c r="E210" s="23" t="s">
        <v>1466</v>
      </c>
      <c r="F210" s="23" t="s">
        <v>18</v>
      </c>
      <c r="G210" s="188"/>
      <c r="H210" s="176" t="s">
        <v>587</v>
      </c>
      <c r="I210" s="176" t="s">
        <v>411</v>
      </c>
      <c r="J210" s="25">
        <v>2064999647</v>
      </c>
      <c r="K210" s="188">
        <v>29487</v>
      </c>
      <c r="L210" s="23" t="s">
        <v>1466</v>
      </c>
      <c r="M210" s="23" t="s">
        <v>18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</row>
    <row r="211" spans="1:31" x14ac:dyDescent="0.3">
      <c r="A211" s="176" t="s">
        <v>588</v>
      </c>
      <c r="B211" s="176" t="s">
        <v>589</v>
      </c>
      <c r="C211" s="25">
        <v>9173820411</v>
      </c>
      <c r="D211" s="188">
        <v>28537</v>
      </c>
      <c r="E211" s="23" t="s">
        <v>1467</v>
      </c>
      <c r="F211" s="23" t="s">
        <v>33</v>
      </c>
      <c r="G211" s="188"/>
      <c r="H211" s="176" t="s">
        <v>588</v>
      </c>
      <c r="I211" s="176" t="s">
        <v>589</v>
      </c>
      <c r="J211" s="25">
        <v>9173820411</v>
      </c>
      <c r="K211" s="188">
        <v>28537</v>
      </c>
      <c r="L211" s="23" t="s">
        <v>1467</v>
      </c>
      <c r="M211" s="23" t="s">
        <v>33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</row>
    <row r="212" spans="1:31" x14ac:dyDescent="0.3">
      <c r="A212" s="176" t="s">
        <v>590</v>
      </c>
      <c r="B212" s="176" t="s">
        <v>475</v>
      </c>
      <c r="C212" s="25">
        <v>2162729524</v>
      </c>
      <c r="D212" s="188">
        <v>30367</v>
      </c>
      <c r="E212" s="23" t="s">
        <v>1468</v>
      </c>
      <c r="F212" s="23" t="s">
        <v>6</v>
      </c>
      <c r="G212" s="188"/>
      <c r="H212" s="176" t="s">
        <v>590</v>
      </c>
      <c r="I212" s="176" t="s">
        <v>475</v>
      </c>
      <c r="J212" s="25">
        <v>2162729524</v>
      </c>
      <c r="K212" s="188">
        <v>30367</v>
      </c>
      <c r="L212" s="23" t="s">
        <v>1468</v>
      </c>
      <c r="M212" s="23" t="s">
        <v>6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</row>
    <row r="213" spans="1:31" x14ac:dyDescent="0.3">
      <c r="A213" s="176" t="s">
        <v>591</v>
      </c>
      <c r="B213" s="176" t="s">
        <v>592</v>
      </c>
      <c r="C213" s="25">
        <v>3098413896</v>
      </c>
      <c r="D213" s="188">
        <v>31933</v>
      </c>
      <c r="E213" s="23" t="s">
        <v>1289</v>
      </c>
      <c r="F213" s="23" t="s">
        <v>10</v>
      </c>
      <c r="G213" s="188"/>
      <c r="H213" s="176" t="s">
        <v>591</v>
      </c>
      <c r="I213" s="176" t="s">
        <v>592</v>
      </c>
      <c r="J213" s="25">
        <v>3098413896</v>
      </c>
      <c r="K213" s="188">
        <v>31933</v>
      </c>
      <c r="L213" s="23" t="s">
        <v>1289</v>
      </c>
      <c r="M213" s="23" t="s">
        <v>10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</row>
    <row r="214" spans="1:31" x14ac:dyDescent="0.3">
      <c r="A214" s="176" t="s">
        <v>593</v>
      </c>
      <c r="B214" s="176" t="s">
        <v>346</v>
      </c>
      <c r="C214" s="25">
        <v>8144694617</v>
      </c>
      <c r="D214" s="188">
        <v>32417</v>
      </c>
      <c r="E214" s="23" t="s">
        <v>1469</v>
      </c>
      <c r="F214" s="23" t="s">
        <v>10</v>
      </c>
      <c r="G214" s="188"/>
      <c r="H214" s="176" t="s">
        <v>593</v>
      </c>
      <c r="I214" s="176" t="s">
        <v>346</v>
      </c>
      <c r="J214" s="25">
        <v>8144694617</v>
      </c>
      <c r="K214" s="188">
        <v>32417</v>
      </c>
      <c r="L214" s="23" t="s">
        <v>1469</v>
      </c>
      <c r="M214" s="23" t="s">
        <v>10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</row>
    <row r="215" spans="1:31" x14ac:dyDescent="0.3">
      <c r="A215" s="176" t="s">
        <v>594</v>
      </c>
      <c r="B215" s="176" t="s">
        <v>580</v>
      </c>
      <c r="C215" s="25">
        <v>9077226463</v>
      </c>
      <c r="D215" s="188">
        <v>32648</v>
      </c>
      <c r="E215" s="23" t="s">
        <v>1470</v>
      </c>
      <c r="F215" s="23" t="s">
        <v>10</v>
      </c>
      <c r="G215" s="188"/>
      <c r="H215" s="176" t="s">
        <v>594</v>
      </c>
      <c r="I215" s="176" t="s">
        <v>580</v>
      </c>
      <c r="J215" s="25">
        <v>9077226463</v>
      </c>
      <c r="K215" s="188">
        <v>32648</v>
      </c>
      <c r="L215" s="23" t="s">
        <v>1470</v>
      </c>
      <c r="M215" s="23" t="s">
        <v>10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</row>
    <row r="216" spans="1:31" x14ac:dyDescent="0.3">
      <c r="A216" s="176" t="s">
        <v>595</v>
      </c>
      <c r="B216" s="176" t="s">
        <v>310</v>
      </c>
      <c r="C216" s="25">
        <v>3188138394</v>
      </c>
      <c r="D216" s="188">
        <v>32663</v>
      </c>
      <c r="E216" s="23" t="s">
        <v>1471</v>
      </c>
      <c r="F216" s="23" t="s">
        <v>10</v>
      </c>
      <c r="G216" s="188"/>
      <c r="H216" s="176" t="s">
        <v>595</v>
      </c>
      <c r="I216" s="176" t="s">
        <v>310</v>
      </c>
      <c r="J216" s="25">
        <v>3188138394</v>
      </c>
      <c r="K216" s="188">
        <v>32663</v>
      </c>
      <c r="L216" s="23" t="s">
        <v>1471</v>
      </c>
      <c r="M216" s="23" t="s">
        <v>10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</row>
    <row r="217" spans="1:31" x14ac:dyDescent="0.3">
      <c r="A217" s="176" t="s">
        <v>596</v>
      </c>
      <c r="B217" s="176" t="s">
        <v>405</v>
      </c>
      <c r="C217" s="25">
        <v>6133355100</v>
      </c>
      <c r="D217" s="188">
        <v>32789</v>
      </c>
      <c r="E217" s="23" t="s">
        <v>1472</v>
      </c>
      <c r="F217" s="23" t="s">
        <v>10</v>
      </c>
      <c r="G217" s="188"/>
      <c r="H217" s="176" t="s">
        <v>596</v>
      </c>
      <c r="I217" s="176" t="s">
        <v>405</v>
      </c>
      <c r="J217" s="25">
        <v>6133355100</v>
      </c>
      <c r="K217" s="188">
        <v>32789</v>
      </c>
      <c r="L217" s="23" t="s">
        <v>1472</v>
      </c>
      <c r="M217" s="23" t="s">
        <v>10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</row>
    <row r="218" spans="1:31" x14ac:dyDescent="0.3">
      <c r="A218" s="176" t="s">
        <v>597</v>
      </c>
      <c r="B218" s="176" t="s">
        <v>598</v>
      </c>
      <c r="C218" s="25">
        <v>3175978858</v>
      </c>
      <c r="D218" s="188">
        <v>30152</v>
      </c>
      <c r="E218" s="23" t="s">
        <v>1473</v>
      </c>
      <c r="F218" s="23" t="s">
        <v>33</v>
      </c>
      <c r="G218" s="188"/>
      <c r="H218" s="176" t="s">
        <v>597</v>
      </c>
      <c r="I218" s="176" t="s">
        <v>598</v>
      </c>
      <c r="J218" s="25">
        <v>3175978858</v>
      </c>
      <c r="K218" s="188">
        <v>30152</v>
      </c>
      <c r="L218" s="23" t="s">
        <v>1473</v>
      </c>
      <c r="M218" s="23" t="s">
        <v>33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</row>
    <row r="219" spans="1:31" x14ac:dyDescent="0.3">
      <c r="A219" s="176" t="s">
        <v>599</v>
      </c>
      <c r="B219" s="176" t="s">
        <v>600</v>
      </c>
      <c r="C219" s="25">
        <v>2024331646</v>
      </c>
      <c r="D219" s="188">
        <v>33961</v>
      </c>
      <c r="E219" s="23" t="s">
        <v>1474</v>
      </c>
      <c r="F219" s="23" t="s">
        <v>10</v>
      </c>
      <c r="G219" s="188"/>
      <c r="H219" s="176" t="s">
        <v>599</v>
      </c>
      <c r="I219" s="176" t="s">
        <v>600</v>
      </c>
      <c r="J219" s="25">
        <v>2024331646</v>
      </c>
      <c r="K219" s="188">
        <v>33961</v>
      </c>
      <c r="L219" s="23" t="s">
        <v>1474</v>
      </c>
      <c r="M219" s="23" t="s">
        <v>10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</row>
    <row r="220" spans="1:31" x14ac:dyDescent="0.3">
      <c r="A220" s="176" t="s">
        <v>601</v>
      </c>
      <c r="B220" s="176" t="s">
        <v>602</v>
      </c>
      <c r="C220" s="25">
        <v>4043613417</v>
      </c>
      <c r="D220" s="188">
        <v>28848</v>
      </c>
      <c r="E220" s="23" t="s">
        <v>1475</v>
      </c>
      <c r="F220" s="23" t="s">
        <v>6</v>
      </c>
      <c r="G220" s="188"/>
      <c r="H220" s="176" t="s">
        <v>601</v>
      </c>
      <c r="I220" s="176" t="s">
        <v>602</v>
      </c>
      <c r="J220" s="25">
        <v>4043613417</v>
      </c>
      <c r="K220" s="188">
        <v>28848</v>
      </c>
      <c r="L220" s="23" t="s">
        <v>1475</v>
      </c>
      <c r="M220" s="23" t="s">
        <v>6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</row>
    <row r="221" spans="1:31" x14ac:dyDescent="0.3">
      <c r="A221" s="176" t="s">
        <v>206</v>
      </c>
      <c r="B221" s="176" t="s">
        <v>207</v>
      </c>
      <c r="C221" s="25">
        <v>5185295649</v>
      </c>
      <c r="D221" s="188">
        <v>30631</v>
      </c>
      <c r="E221" s="23" t="s">
        <v>1476</v>
      </c>
      <c r="F221" s="23" t="s">
        <v>10</v>
      </c>
      <c r="G221" s="188"/>
      <c r="H221" s="176" t="s">
        <v>206</v>
      </c>
      <c r="I221" s="176" t="s">
        <v>207</v>
      </c>
      <c r="J221" s="25">
        <v>5185295649</v>
      </c>
      <c r="K221" s="188">
        <v>30631</v>
      </c>
      <c r="L221" s="23" t="s">
        <v>1476</v>
      </c>
      <c r="M221" s="23" t="s">
        <v>10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</row>
    <row r="222" spans="1:31" x14ac:dyDescent="0.3">
      <c r="A222" s="176" t="s">
        <v>206</v>
      </c>
      <c r="B222" s="176" t="s">
        <v>285</v>
      </c>
      <c r="C222" s="25">
        <v>8096505454</v>
      </c>
      <c r="D222" s="188">
        <v>28311</v>
      </c>
      <c r="E222" s="23" t="s">
        <v>1477</v>
      </c>
      <c r="F222" s="23" t="s">
        <v>10</v>
      </c>
      <c r="G222" s="188"/>
      <c r="H222" s="176" t="s">
        <v>206</v>
      </c>
      <c r="I222" s="176" t="s">
        <v>285</v>
      </c>
      <c r="J222" s="25">
        <v>8096505454</v>
      </c>
      <c r="K222" s="188">
        <v>28311</v>
      </c>
      <c r="L222" s="23" t="s">
        <v>1477</v>
      </c>
      <c r="M222" s="23" t="s">
        <v>10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</row>
    <row r="223" spans="1:31" x14ac:dyDescent="0.3">
      <c r="A223" s="176" t="s">
        <v>603</v>
      </c>
      <c r="B223" s="176" t="s">
        <v>285</v>
      </c>
      <c r="C223" s="25">
        <v>6195866679</v>
      </c>
      <c r="D223" s="188">
        <v>29702</v>
      </c>
      <c r="E223" s="23" t="s">
        <v>1478</v>
      </c>
      <c r="F223" s="23" t="s">
        <v>10</v>
      </c>
      <c r="G223" s="188"/>
      <c r="H223" s="176" t="s">
        <v>603</v>
      </c>
      <c r="I223" s="176" t="s">
        <v>285</v>
      </c>
      <c r="J223" s="25">
        <v>6195866679</v>
      </c>
      <c r="K223" s="188">
        <v>29702</v>
      </c>
      <c r="L223" s="23" t="s">
        <v>1478</v>
      </c>
      <c r="M223" s="23" t="s">
        <v>10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</row>
    <row r="224" spans="1:31" x14ac:dyDescent="0.3">
      <c r="A224" s="176" t="s">
        <v>604</v>
      </c>
      <c r="B224" s="176" t="s">
        <v>605</v>
      </c>
      <c r="C224" s="25">
        <v>4081198851</v>
      </c>
      <c r="D224" s="188">
        <v>32694</v>
      </c>
      <c r="E224" s="23" t="s">
        <v>1479</v>
      </c>
      <c r="F224" s="23" t="s">
        <v>6</v>
      </c>
      <c r="G224" s="188"/>
      <c r="H224" s="176" t="s">
        <v>604</v>
      </c>
      <c r="I224" s="176" t="s">
        <v>605</v>
      </c>
      <c r="J224" s="25">
        <v>4081198851</v>
      </c>
      <c r="K224" s="188">
        <v>32694</v>
      </c>
      <c r="L224" s="23" t="s">
        <v>1479</v>
      </c>
      <c r="M224" s="23" t="s">
        <v>6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</row>
    <row r="225" spans="1:31" x14ac:dyDescent="0.3">
      <c r="A225" s="176" t="s">
        <v>606</v>
      </c>
      <c r="B225" s="176" t="s">
        <v>607</v>
      </c>
      <c r="C225" s="25">
        <v>9136563683</v>
      </c>
      <c r="D225" s="188">
        <v>27859</v>
      </c>
      <c r="E225" s="23" t="s">
        <v>1480</v>
      </c>
      <c r="F225" s="23" t="s">
        <v>6</v>
      </c>
      <c r="G225" s="188"/>
      <c r="H225" s="176" t="s">
        <v>606</v>
      </c>
      <c r="I225" s="176" t="s">
        <v>607</v>
      </c>
      <c r="J225" s="25">
        <v>9136563683</v>
      </c>
      <c r="K225" s="188">
        <v>27859</v>
      </c>
      <c r="L225" s="23" t="s">
        <v>1480</v>
      </c>
      <c r="M225" s="23" t="s">
        <v>6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</row>
    <row r="226" spans="1:31" x14ac:dyDescent="0.3">
      <c r="A226" s="176" t="s">
        <v>608</v>
      </c>
      <c r="B226" s="176" t="s">
        <v>408</v>
      </c>
      <c r="C226" s="25">
        <v>5182872439</v>
      </c>
      <c r="D226" s="188">
        <v>27858</v>
      </c>
      <c r="E226" s="23" t="s">
        <v>1481</v>
      </c>
      <c r="F226" s="23" t="s">
        <v>10</v>
      </c>
      <c r="G226" s="188"/>
      <c r="H226" s="176" t="s">
        <v>608</v>
      </c>
      <c r="I226" s="176" t="s">
        <v>408</v>
      </c>
      <c r="J226" s="25">
        <v>5182872439</v>
      </c>
      <c r="K226" s="188">
        <v>27858</v>
      </c>
      <c r="L226" s="23" t="s">
        <v>1481</v>
      </c>
      <c r="M226" s="23" t="s">
        <v>10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</row>
    <row r="227" spans="1:31" x14ac:dyDescent="0.3">
      <c r="A227" s="176" t="s">
        <v>609</v>
      </c>
      <c r="B227" s="176" t="s">
        <v>285</v>
      </c>
      <c r="C227" s="25">
        <v>7056698101</v>
      </c>
      <c r="D227" s="188">
        <v>35747</v>
      </c>
      <c r="E227" s="23" t="s">
        <v>1482</v>
      </c>
      <c r="F227" s="23" t="s">
        <v>10</v>
      </c>
      <c r="G227" s="188"/>
      <c r="H227" s="176" t="s">
        <v>609</v>
      </c>
      <c r="I227" s="176" t="s">
        <v>285</v>
      </c>
      <c r="J227" s="25">
        <v>7056698101</v>
      </c>
      <c r="K227" s="188">
        <v>35747</v>
      </c>
      <c r="L227" s="23" t="s">
        <v>1482</v>
      </c>
      <c r="M227" s="23" t="s">
        <v>10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</row>
    <row r="228" spans="1:31" x14ac:dyDescent="0.3">
      <c r="A228" s="176" t="s">
        <v>610</v>
      </c>
      <c r="B228" s="176" t="s">
        <v>541</v>
      </c>
      <c r="C228" s="25">
        <v>7126853122</v>
      </c>
      <c r="D228" s="188">
        <v>29671</v>
      </c>
      <c r="E228" s="23" t="s">
        <v>1483</v>
      </c>
      <c r="F228" s="23" t="s">
        <v>33</v>
      </c>
      <c r="G228" s="188"/>
      <c r="H228" s="176" t="s">
        <v>610</v>
      </c>
      <c r="I228" s="176" t="s">
        <v>541</v>
      </c>
      <c r="J228" s="25">
        <v>7126853122</v>
      </c>
      <c r="K228" s="188">
        <v>29671</v>
      </c>
      <c r="L228" s="23" t="s">
        <v>1483</v>
      </c>
      <c r="M228" s="23" t="s">
        <v>33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</row>
    <row r="229" spans="1:31" x14ac:dyDescent="0.3">
      <c r="A229" s="176" t="s">
        <v>611</v>
      </c>
      <c r="B229" s="176" t="s">
        <v>322</v>
      </c>
      <c r="C229" s="25">
        <v>9086966637</v>
      </c>
      <c r="D229" s="188">
        <v>35708</v>
      </c>
      <c r="E229" s="23" t="s">
        <v>1484</v>
      </c>
      <c r="F229" s="23" t="s">
        <v>18</v>
      </c>
      <c r="G229" s="188"/>
      <c r="H229" s="176" t="s">
        <v>611</v>
      </c>
      <c r="I229" s="176" t="s">
        <v>322</v>
      </c>
      <c r="J229" s="25">
        <v>9086966637</v>
      </c>
      <c r="K229" s="188">
        <v>35708</v>
      </c>
      <c r="L229" s="23" t="s">
        <v>1484</v>
      </c>
      <c r="M229" s="23" t="s">
        <v>18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</row>
    <row r="230" spans="1:31" x14ac:dyDescent="0.3">
      <c r="A230" s="176" t="s">
        <v>612</v>
      </c>
      <c r="B230" s="176" t="s">
        <v>613</v>
      </c>
      <c r="C230" s="25">
        <v>8191963194</v>
      </c>
      <c r="D230" s="188">
        <v>28497</v>
      </c>
      <c r="E230" s="23" t="s">
        <v>1485</v>
      </c>
      <c r="F230" s="23" t="s">
        <v>10</v>
      </c>
      <c r="G230" s="188"/>
      <c r="H230" s="176" t="s">
        <v>612</v>
      </c>
      <c r="I230" s="176" t="s">
        <v>613</v>
      </c>
      <c r="J230" s="25">
        <v>8191963194</v>
      </c>
      <c r="K230" s="188">
        <v>28497</v>
      </c>
      <c r="L230" s="23" t="s">
        <v>1485</v>
      </c>
      <c r="M230" s="23" t="s">
        <v>10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</row>
    <row r="231" spans="1:31" x14ac:dyDescent="0.3">
      <c r="A231" s="176" t="s">
        <v>614</v>
      </c>
      <c r="B231" s="176" t="s">
        <v>615</v>
      </c>
      <c r="C231" s="25">
        <v>8058566597</v>
      </c>
      <c r="D231" s="188">
        <v>29369</v>
      </c>
      <c r="E231" s="23" t="s">
        <v>1486</v>
      </c>
      <c r="F231" s="23" t="s">
        <v>18</v>
      </c>
      <c r="G231" s="188"/>
      <c r="H231" s="176" t="s">
        <v>614</v>
      </c>
      <c r="I231" s="176" t="s">
        <v>615</v>
      </c>
      <c r="J231" s="25">
        <v>8058566597</v>
      </c>
      <c r="K231" s="188">
        <v>29369</v>
      </c>
      <c r="L231" s="23" t="s">
        <v>1486</v>
      </c>
      <c r="M231" s="23" t="s">
        <v>18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</row>
    <row r="232" spans="1:31" x14ac:dyDescent="0.3">
      <c r="A232" s="176" t="s">
        <v>616</v>
      </c>
      <c r="B232" s="176" t="s">
        <v>509</v>
      </c>
      <c r="C232" s="25">
        <v>4196650531</v>
      </c>
      <c r="D232" s="188">
        <v>29787</v>
      </c>
      <c r="E232" s="23" t="s">
        <v>1487</v>
      </c>
      <c r="F232" s="23" t="s">
        <v>6</v>
      </c>
      <c r="G232" s="188"/>
      <c r="H232" s="176" t="s">
        <v>616</v>
      </c>
      <c r="I232" s="176" t="s">
        <v>509</v>
      </c>
      <c r="J232" s="25">
        <v>4196650531</v>
      </c>
      <c r="K232" s="188">
        <v>29787</v>
      </c>
      <c r="L232" s="23" t="s">
        <v>1487</v>
      </c>
      <c r="M232" s="23" t="s">
        <v>6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</row>
    <row r="233" spans="1:31" x14ac:dyDescent="0.3">
      <c r="A233" s="176" t="s">
        <v>617</v>
      </c>
      <c r="B233" s="176" t="s">
        <v>618</v>
      </c>
      <c r="C233" s="25">
        <v>2193327522</v>
      </c>
      <c r="D233" s="188">
        <v>35194</v>
      </c>
      <c r="E233" s="23" t="s">
        <v>1488</v>
      </c>
      <c r="F233" s="23" t="s">
        <v>6</v>
      </c>
      <c r="G233" s="188"/>
      <c r="H233" s="176" t="s">
        <v>617</v>
      </c>
      <c r="I233" s="176" t="s">
        <v>618</v>
      </c>
      <c r="J233" s="25">
        <v>2193327522</v>
      </c>
      <c r="K233" s="188">
        <v>35194</v>
      </c>
      <c r="L233" s="23" t="s">
        <v>1488</v>
      </c>
      <c r="M233" s="23" t="s">
        <v>6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</row>
    <row r="234" spans="1:31" x14ac:dyDescent="0.3">
      <c r="A234" s="176" t="s">
        <v>619</v>
      </c>
      <c r="B234" s="176" t="s">
        <v>413</v>
      </c>
      <c r="C234" s="25">
        <v>7191876990</v>
      </c>
      <c r="D234" s="188">
        <v>28025</v>
      </c>
      <c r="E234" s="23" t="s">
        <v>1489</v>
      </c>
      <c r="F234" s="23" t="s">
        <v>18</v>
      </c>
      <c r="G234" s="188"/>
      <c r="H234" s="176" t="s">
        <v>619</v>
      </c>
      <c r="I234" s="176" t="s">
        <v>413</v>
      </c>
      <c r="J234" s="25">
        <v>7191876990</v>
      </c>
      <c r="K234" s="188">
        <v>28025</v>
      </c>
      <c r="L234" s="23" t="s">
        <v>1489</v>
      </c>
      <c r="M234" s="23" t="s">
        <v>18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</row>
    <row r="235" spans="1:31" x14ac:dyDescent="0.3">
      <c r="A235" s="176" t="s">
        <v>115</v>
      </c>
      <c r="B235" s="176" t="s">
        <v>620</v>
      </c>
      <c r="C235" s="25">
        <v>2186657361</v>
      </c>
      <c r="D235" s="188">
        <v>27920</v>
      </c>
      <c r="E235" s="23" t="s">
        <v>1490</v>
      </c>
      <c r="F235" s="23" t="s">
        <v>6</v>
      </c>
      <c r="G235" s="188"/>
      <c r="H235" s="176" t="s">
        <v>115</v>
      </c>
      <c r="I235" s="176" t="s">
        <v>620</v>
      </c>
      <c r="J235" s="25">
        <v>2186657361</v>
      </c>
      <c r="K235" s="188">
        <v>27920</v>
      </c>
      <c r="L235" s="23" t="s">
        <v>1490</v>
      </c>
      <c r="M235" s="23" t="s">
        <v>6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</row>
    <row r="236" spans="1:31" x14ac:dyDescent="0.3">
      <c r="A236" s="176" t="s">
        <v>621</v>
      </c>
      <c r="B236" s="176" t="s">
        <v>577</v>
      </c>
      <c r="C236" s="25">
        <v>4115998691</v>
      </c>
      <c r="D236" s="188">
        <v>28613</v>
      </c>
      <c r="E236" s="23" t="s">
        <v>1491</v>
      </c>
      <c r="F236" s="23" t="s">
        <v>10</v>
      </c>
      <c r="G236" s="188"/>
      <c r="H236" s="176" t="s">
        <v>621</v>
      </c>
      <c r="I236" s="176" t="s">
        <v>577</v>
      </c>
      <c r="J236" s="25">
        <v>4115998691</v>
      </c>
      <c r="K236" s="188">
        <v>28613</v>
      </c>
      <c r="L236" s="23" t="s">
        <v>1491</v>
      </c>
      <c r="M236" s="23" t="s">
        <v>10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</row>
    <row r="237" spans="1:31" x14ac:dyDescent="0.3">
      <c r="A237" s="176" t="s">
        <v>622</v>
      </c>
      <c r="B237" s="176" t="s">
        <v>623</v>
      </c>
      <c r="C237" s="25">
        <v>5147045091</v>
      </c>
      <c r="D237" s="188">
        <v>28933</v>
      </c>
      <c r="E237" s="23" t="s">
        <v>1492</v>
      </c>
      <c r="F237" s="23" t="s">
        <v>10</v>
      </c>
      <c r="G237" s="188"/>
      <c r="H237" s="176" t="s">
        <v>622</v>
      </c>
      <c r="I237" s="176" t="s">
        <v>623</v>
      </c>
      <c r="J237" s="25">
        <v>5147045091</v>
      </c>
      <c r="K237" s="188">
        <v>28933</v>
      </c>
      <c r="L237" s="23" t="s">
        <v>1492</v>
      </c>
      <c r="M237" s="23" t="s">
        <v>10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</row>
    <row r="238" spans="1:31" x14ac:dyDescent="0.3">
      <c r="A238" s="176" t="s">
        <v>624</v>
      </c>
      <c r="B238" s="176" t="s">
        <v>625</v>
      </c>
      <c r="C238" s="25">
        <v>4086391402</v>
      </c>
      <c r="D238" s="188">
        <v>29787</v>
      </c>
      <c r="E238" s="23" t="s">
        <v>1493</v>
      </c>
      <c r="F238" s="23" t="s">
        <v>10</v>
      </c>
      <c r="G238" s="188"/>
      <c r="H238" s="176" t="s">
        <v>624</v>
      </c>
      <c r="I238" s="176" t="s">
        <v>625</v>
      </c>
      <c r="J238" s="25">
        <v>4086391402</v>
      </c>
      <c r="K238" s="188">
        <v>29787</v>
      </c>
      <c r="L238" s="23" t="s">
        <v>1493</v>
      </c>
      <c r="M238" s="23" t="s">
        <v>10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</row>
    <row r="239" spans="1:31" x14ac:dyDescent="0.3">
      <c r="A239" s="176" t="s">
        <v>626</v>
      </c>
      <c r="B239" s="176" t="s">
        <v>627</v>
      </c>
      <c r="C239" s="25">
        <v>7114125294</v>
      </c>
      <c r="D239" s="188">
        <v>30496</v>
      </c>
      <c r="E239" s="23" t="s">
        <v>1494</v>
      </c>
      <c r="F239" s="23" t="s">
        <v>10</v>
      </c>
      <c r="G239" s="188"/>
      <c r="H239" s="176" t="s">
        <v>626</v>
      </c>
      <c r="I239" s="176" t="s">
        <v>627</v>
      </c>
      <c r="J239" s="25">
        <v>7114125294</v>
      </c>
      <c r="K239" s="188">
        <v>30496</v>
      </c>
      <c r="L239" s="23" t="s">
        <v>1494</v>
      </c>
      <c r="M239" s="23" t="s">
        <v>10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</row>
    <row r="240" spans="1:31" x14ac:dyDescent="0.3">
      <c r="A240" s="176" t="s">
        <v>628</v>
      </c>
      <c r="B240" s="176" t="s">
        <v>629</v>
      </c>
      <c r="C240" s="25">
        <v>6117687161</v>
      </c>
      <c r="D240" s="188">
        <v>34693</v>
      </c>
      <c r="E240" s="23" t="s">
        <v>1495</v>
      </c>
      <c r="F240" s="23" t="s">
        <v>10</v>
      </c>
      <c r="G240" s="188"/>
      <c r="H240" s="176" t="s">
        <v>628</v>
      </c>
      <c r="I240" s="176" t="s">
        <v>629</v>
      </c>
      <c r="J240" s="25">
        <v>6117687161</v>
      </c>
      <c r="K240" s="188">
        <v>34693</v>
      </c>
      <c r="L240" s="23" t="s">
        <v>1495</v>
      </c>
      <c r="M240" s="23" t="s">
        <v>10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</row>
    <row r="241" spans="1:31" x14ac:dyDescent="0.3">
      <c r="A241" s="176" t="s">
        <v>630</v>
      </c>
      <c r="B241" s="176" t="s">
        <v>385</v>
      </c>
      <c r="C241" s="25">
        <v>6075157707</v>
      </c>
      <c r="D241" s="188">
        <v>29899</v>
      </c>
      <c r="E241" s="23" t="s">
        <v>1496</v>
      </c>
      <c r="F241" s="23" t="s">
        <v>6</v>
      </c>
      <c r="G241" s="188"/>
      <c r="H241" s="176" t="s">
        <v>630</v>
      </c>
      <c r="I241" s="176" t="s">
        <v>385</v>
      </c>
      <c r="J241" s="25">
        <v>6075157707</v>
      </c>
      <c r="K241" s="188">
        <v>29899</v>
      </c>
      <c r="L241" s="23" t="s">
        <v>1496</v>
      </c>
      <c r="M241" s="23" t="s">
        <v>6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</row>
    <row r="242" spans="1:31" x14ac:dyDescent="0.3">
      <c r="A242" s="176" t="s">
        <v>631</v>
      </c>
      <c r="B242" s="176" t="s">
        <v>632</v>
      </c>
      <c r="C242" s="25">
        <v>2148687353</v>
      </c>
      <c r="D242" s="188">
        <v>33339</v>
      </c>
      <c r="E242" s="23" t="s">
        <v>1497</v>
      </c>
      <c r="F242" s="23" t="s">
        <v>10</v>
      </c>
      <c r="G242" s="188"/>
      <c r="H242" s="176" t="s">
        <v>631</v>
      </c>
      <c r="I242" s="176" t="s">
        <v>632</v>
      </c>
      <c r="J242" s="25">
        <v>2148687353</v>
      </c>
      <c r="K242" s="188">
        <v>33339</v>
      </c>
      <c r="L242" s="23" t="s">
        <v>1497</v>
      </c>
      <c r="M242" s="23" t="s">
        <v>10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</row>
    <row r="243" spans="1:31" x14ac:dyDescent="0.3">
      <c r="A243" s="176" t="s">
        <v>633</v>
      </c>
      <c r="B243" s="176" t="s">
        <v>395</v>
      </c>
      <c r="C243" s="25">
        <v>5094603155</v>
      </c>
      <c r="D243" s="188">
        <v>34836</v>
      </c>
      <c r="E243" s="23" t="s">
        <v>1498</v>
      </c>
      <c r="F243" s="23" t="s">
        <v>10</v>
      </c>
      <c r="G243" s="188"/>
      <c r="H243" s="176" t="s">
        <v>633</v>
      </c>
      <c r="I243" s="176" t="s">
        <v>395</v>
      </c>
      <c r="J243" s="25">
        <v>5094603155</v>
      </c>
      <c r="K243" s="188">
        <v>34836</v>
      </c>
      <c r="L243" s="23" t="s">
        <v>1498</v>
      </c>
      <c r="M243" s="23" t="s">
        <v>10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</row>
    <row r="244" spans="1:31" x14ac:dyDescent="0.3">
      <c r="A244" s="176" t="s">
        <v>634</v>
      </c>
      <c r="B244" s="176" t="s">
        <v>635</v>
      </c>
      <c r="C244" s="25">
        <v>6091264786</v>
      </c>
      <c r="D244" s="188">
        <v>30039</v>
      </c>
      <c r="E244" s="23" t="s">
        <v>1499</v>
      </c>
      <c r="F244" s="23" t="s">
        <v>10</v>
      </c>
      <c r="G244" s="188"/>
      <c r="H244" s="176" t="s">
        <v>634</v>
      </c>
      <c r="I244" s="176" t="s">
        <v>635</v>
      </c>
      <c r="J244" s="25">
        <v>6091264786</v>
      </c>
      <c r="K244" s="188">
        <v>30039</v>
      </c>
      <c r="L244" s="23" t="s">
        <v>1499</v>
      </c>
      <c r="M244" s="23" t="s">
        <v>10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</row>
    <row r="245" spans="1:31" x14ac:dyDescent="0.3">
      <c r="A245" s="176" t="s">
        <v>636</v>
      </c>
      <c r="B245" s="176" t="s">
        <v>637</v>
      </c>
      <c r="C245" s="25">
        <v>5025804771</v>
      </c>
      <c r="D245" s="188">
        <v>29379</v>
      </c>
      <c r="E245" s="23" t="s">
        <v>1500</v>
      </c>
      <c r="F245" s="23" t="s">
        <v>10</v>
      </c>
      <c r="G245" s="188"/>
      <c r="H245" s="176" t="s">
        <v>636</v>
      </c>
      <c r="I245" s="176" t="s">
        <v>637</v>
      </c>
      <c r="J245" s="25">
        <v>5025804771</v>
      </c>
      <c r="K245" s="188">
        <v>29379</v>
      </c>
      <c r="L245" s="23" t="s">
        <v>1500</v>
      </c>
      <c r="M245" s="23" t="s">
        <v>10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</row>
    <row r="246" spans="1:31" x14ac:dyDescent="0.3">
      <c r="A246" s="176" t="s">
        <v>638</v>
      </c>
      <c r="B246" s="176" t="s">
        <v>353</v>
      </c>
      <c r="C246" s="25">
        <v>7056104400</v>
      </c>
      <c r="D246" s="188">
        <v>35625</v>
      </c>
      <c r="E246" s="23" t="s">
        <v>1501</v>
      </c>
      <c r="F246" s="23" t="s">
        <v>33</v>
      </c>
      <c r="G246" s="188"/>
      <c r="H246" s="176" t="s">
        <v>638</v>
      </c>
      <c r="I246" s="176" t="s">
        <v>353</v>
      </c>
      <c r="J246" s="25">
        <v>7056104400</v>
      </c>
      <c r="K246" s="188">
        <v>35625</v>
      </c>
      <c r="L246" s="23" t="s">
        <v>1501</v>
      </c>
      <c r="M246" s="23" t="s">
        <v>33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</row>
    <row r="247" spans="1:31" x14ac:dyDescent="0.3">
      <c r="A247" s="176" t="s">
        <v>212</v>
      </c>
      <c r="B247" s="176" t="s">
        <v>213</v>
      </c>
      <c r="C247" s="25">
        <v>9078979762</v>
      </c>
      <c r="D247" s="188">
        <v>29487</v>
      </c>
      <c r="E247" s="23" t="s">
        <v>1502</v>
      </c>
      <c r="F247" s="23" t="s">
        <v>18</v>
      </c>
      <c r="G247" s="188"/>
      <c r="H247" s="176" t="s">
        <v>212</v>
      </c>
      <c r="I247" s="176" t="s">
        <v>213</v>
      </c>
      <c r="J247" s="25">
        <v>9078979762</v>
      </c>
      <c r="K247" s="188">
        <v>29487</v>
      </c>
      <c r="L247" s="23" t="s">
        <v>1502</v>
      </c>
      <c r="M247" s="23" t="s">
        <v>18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</row>
    <row r="248" spans="1:31" x14ac:dyDescent="0.3">
      <c r="A248" s="176" t="s">
        <v>639</v>
      </c>
      <c r="B248" s="176" t="s">
        <v>427</v>
      </c>
      <c r="C248" s="25">
        <v>5146801348</v>
      </c>
      <c r="D248" s="188">
        <v>28537</v>
      </c>
      <c r="E248" s="23" t="s">
        <v>1503</v>
      </c>
      <c r="F248" s="23" t="s">
        <v>10</v>
      </c>
      <c r="G248" s="188"/>
      <c r="H248" s="176" t="s">
        <v>639</v>
      </c>
      <c r="I248" s="176" t="s">
        <v>427</v>
      </c>
      <c r="J248" s="25">
        <v>5146801348</v>
      </c>
      <c r="K248" s="188">
        <v>28537</v>
      </c>
      <c r="L248" s="23" t="s">
        <v>1503</v>
      </c>
      <c r="M248" s="23" t="s">
        <v>10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</row>
    <row r="249" spans="1:31" x14ac:dyDescent="0.3">
      <c r="A249" s="176" t="s">
        <v>640</v>
      </c>
      <c r="B249" s="176" t="s">
        <v>641</v>
      </c>
      <c r="C249" s="25">
        <v>3046459263</v>
      </c>
      <c r="D249" s="188">
        <v>30367</v>
      </c>
      <c r="E249" s="23" t="s">
        <v>1504</v>
      </c>
      <c r="F249" s="23" t="s">
        <v>10</v>
      </c>
      <c r="G249" s="188"/>
      <c r="H249" s="176" t="s">
        <v>640</v>
      </c>
      <c r="I249" s="176" t="s">
        <v>641</v>
      </c>
      <c r="J249" s="25">
        <v>3046459263</v>
      </c>
      <c r="K249" s="188">
        <v>30367</v>
      </c>
      <c r="L249" s="23" t="s">
        <v>1504</v>
      </c>
      <c r="M249" s="23" t="s">
        <v>10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</row>
    <row r="250" spans="1:31" x14ac:dyDescent="0.3">
      <c r="A250" s="176" t="s">
        <v>642</v>
      </c>
      <c r="B250" s="176" t="s">
        <v>643</v>
      </c>
      <c r="C250" s="25">
        <v>8144944945</v>
      </c>
      <c r="D250" s="188">
        <v>31933</v>
      </c>
      <c r="E250" s="23" t="s">
        <v>1505</v>
      </c>
      <c r="F250" s="23" t="s">
        <v>10</v>
      </c>
      <c r="G250" s="188"/>
      <c r="H250" s="176" t="s">
        <v>642</v>
      </c>
      <c r="I250" s="176" t="s">
        <v>643</v>
      </c>
      <c r="J250" s="25">
        <v>8144944945</v>
      </c>
      <c r="K250" s="188">
        <v>31933</v>
      </c>
      <c r="L250" s="23" t="s">
        <v>1505</v>
      </c>
      <c r="M250" s="23" t="s">
        <v>10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</row>
    <row r="251" spans="1:31" x14ac:dyDescent="0.3">
      <c r="A251" s="176" t="s">
        <v>644</v>
      </c>
      <c r="B251" s="176" t="s">
        <v>490</v>
      </c>
      <c r="C251" s="25">
        <v>8116456972</v>
      </c>
      <c r="D251" s="188">
        <v>32417</v>
      </c>
      <c r="E251" s="23" t="s">
        <v>1506</v>
      </c>
      <c r="F251" s="23" t="s">
        <v>10</v>
      </c>
      <c r="G251" s="188"/>
      <c r="H251" s="176" t="s">
        <v>644</v>
      </c>
      <c r="I251" s="176" t="s">
        <v>490</v>
      </c>
      <c r="J251" s="25">
        <v>8116456972</v>
      </c>
      <c r="K251" s="188">
        <v>32417</v>
      </c>
      <c r="L251" s="23" t="s">
        <v>1506</v>
      </c>
      <c r="M251" s="23" t="s">
        <v>10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</row>
    <row r="252" spans="1:31" x14ac:dyDescent="0.3">
      <c r="A252" s="176" t="s">
        <v>645</v>
      </c>
      <c r="B252" s="176" t="s">
        <v>646</v>
      </c>
      <c r="C252" s="25">
        <v>8175060466</v>
      </c>
      <c r="D252" s="188">
        <v>32648</v>
      </c>
      <c r="E252" s="23" t="s">
        <v>1507</v>
      </c>
      <c r="F252" s="23" t="s">
        <v>10</v>
      </c>
      <c r="G252" s="188"/>
      <c r="H252" s="176" t="s">
        <v>645</v>
      </c>
      <c r="I252" s="176" t="s">
        <v>646</v>
      </c>
      <c r="J252" s="25">
        <v>8175060466</v>
      </c>
      <c r="K252" s="188">
        <v>32648</v>
      </c>
      <c r="L252" s="23" t="s">
        <v>1507</v>
      </c>
      <c r="M252" s="23" t="s">
        <v>10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</row>
    <row r="253" spans="1:31" x14ac:dyDescent="0.3">
      <c r="A253" s="176" t="s">
        <v>647</v>
      </c>
      <c r="B253" s="176" t="s">
        <v>648</v>
      </c>
      <c r="C253" s="25">
        <v>9176609693</v>
      </c>
      <c r="D253" s="188">
        <v>32663</v>
      </c>
      <c r="E253" s="23" t="s">
        <v>1508</v>
      </c>
      <c r="F253" s="23" t="s">
        <v>10</v>
      </c>
      <c r="G253" s="188"/>
      <c r="H253" s="176" t="s">
        <v>647</v>
      </c>
      <c r="I253" s="176" t="s">
        <v>648</v>
      </c>
      <c r="J253" s="25">
        <v>9176609693</v>
      </c>
      <c r="K253" s="188">
        <v>32663</v>
      </c>
      <c r="L253" s="23" t="s">
        <v>1508</v>
      </c>
      <c r="M253" s="23" t="s">
        <v>10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</row>
    <row r="254" spans="1:31" x14ac:dyDescent="0.3">
      <c r="A254" s="176" t="s">
        <v>649</v>
      </c>
      <c r="B254" s="176" t="s">
        <v>650</v>
      </c>
      <c r="C254" s="25">
        <v>6041276517</v>
      </c>
      <c r="D254" s="188">
        <v>32789</v>
      </c>
      <c r="E254" s="23" t="s">
        <v>1509</v>
      </c>
      <c r="F254" s="23" t="s">
        <v>18</v>
      </c>
      <c r="G254" s="188"/>
      <c r="H254" s="176" t="s">
        <v>649</v>
      </c>
      <c r="I254" s="176" t="s">
        <v>650</v>
      </c>
      <c r="J254" s="25">
        <v>6041276517</v>
      </c>
      <c r="K254" s="188">
        <v>32789</v>
      </c>
      <c r="L254" s="23" t="s">
        <v>1509</v>
      </c>
      <c r="M254" s="23" t="s">
        <v>18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</row>
    <row r="255" spans="1:31" x14ac:dyDescent="0.3">
      <c r="A255" s="176" t="s">
        <v>651</v>
      </c>
      <c r="B255" s="176" t="s">
        <v>509</v>
      </c>
      <c r="C255" s="25">
        <v>8158577225</v>
      </c>
      <c r="D255" s="188">
        <v>30152</v>
      </c>
      <c r="E255" s="23" t="s">
        <v>1510</v>
      </c>
      <c r="F255" s="23" t="s">
        <v>33</v>
      </c>
      <c r="G255" s="188"/>
      <c r="H255" s="176" t="s">
        <v>651</v>
      </c>
      <c r="I255" s="176" t="s">
        <v>509</v>
      </c>
      <c r="J255" s="25">
        <v>8158577225</v>
      </c>
      <c r="K255" s="188">
        <v>30152</v>
      </c>
      <c r="L255" s="23" t="s">
        <v>1510</v>
      </c>
      <c r="M255" s="23" t="s">
        <v>33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</row>
    <row r="256" spans="1:31" x14ac:dyDescent="0.3">
      <c r="A256" s="176" t="s">
        <v>652</v>
      </c>
      <c r="B256" s="176" t="s">
        <v>481</v>
      </c>
      <c r="C256" s="25">
        <v>2065621928</v>
      </c>
      <c r="D256" s="188">
        <v>33961</v>
      </c>
      <c r="E256" s="23" t="s">
        <v>1511</v>
      </c>
      <c r="F256" s="23" t="s">
        <v>10</v>
      </c>
      <c r="G256" s="188"/>
      <c r="H256" s="176" t="s">
        <v>652</v>
      </c>
      <c r="I256" s="176" t="s">
        <v>481</v>
      </c>
      <c r="J256" s="25">
        <v>2065621928</v>
      </c>
      <c r="K256" s="188">
        <v>33961</v>
      </c>
      <c r="L256" s="23" t="s">
        <v>1511</v>
      </c>
      <c r="M256" s="23" t="s">
        <v>10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</row>
    <row r="257" spans="1:31" x14ac:dyDescent="0.3">
      <c r="A257" s="176" t="s">
        <v>653</v>
      </c>
      <c r="B257" s="176" t="s">
        <v>342</v>
      </c>
      <c r="C257" s="25">
        <v>8116100410</v>
      </c>
      <c r="D257" s="188">
        <v>28848</v>
      </c>
      <c r="E257" s="23" t="s">
        <v>1512</v>
      </c>
      <c r="F257" s="23" t="s">
        <v>6</v>
      </c>
      <c r="G257" s="188"/>
      <c r="H257" s="176" t="s">
        <v>653</v>
      </c>
      <c r="I257" s="176" t="s">
        <v>342</v>
      </c>
      <c r="J257" s="25">
        <v>8116100410</v>
      </c>
      <c r="K257" s="188">
        <v>28848</v>
      </c>
      <c r="L257" s="23" t="s">
        <v>1512</v>
      </c>
      <c r="M257" s="23" t="s">
        <v>6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</row>
    <row r="258" spans="1:31" x14ac:dyDescent="0.3">
      <c r="A258" s="176" t="s">
        <v>654</v>
      </c>
      <c r="B258" s="176" t="s">
        <v>322</v>
      </c>
      <c r="C258" s="25">
        <v>8064924736</v>
      </c>
      <c r="D258" s="188">
        <v>30631</v>
      </c>
      <c r="E258" s="23" t="s">
        <v>1513</v>
      </c>
      <c r="F258" s="23" t="s">
        <v>33</v>
      </c>
      <c r="G258" s="188"/>
      <c r="H258" s="176" t="s">
        <v>654</v>
      </c>
      <c r="I258" s="176" t="s">
        <v>322</v>
      </c>
      <c r="J258" s="25">
        <v>8064924736</v>
      </c>
      <c r="K258" s="188">
        <v>30631</v>
      </c>
      <c r="L258" s="23" t="s">
        <v>1513</v>
      </c>
      <c r="M258" s="23" t="s">
        <v>33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</row>
    <row r="259" spans="1:31" x14ac:dyDescent="0.3">
      <c r="A259" s="176" t="s">
        <v>655</v>
      </c>
      <c r="B259" s="176" t="s">
        <v>322</v>
      </c>
      <c r="C259" s="25">
        <v>3033184277</v>
      </c>
      <c r="D259" s="188">
        <v>28311</v>
      </c>
      <c r="E259" s="23" t="s">
        <v>1514</v>
      </c>
      <c r="F259" s="23" t="s">
        <v>6</v>
      </c>
      <c r="G259" s="188"/>
      <c r="H259" s="176" t="s">
        <v>655</v>
      </c>
      <c r="I259" s="176" t="s">
        <v>322</v>
      </c>
      <c r="J259" s="25">
        <v>3033184277</v>
      </c>
      <c r="K259" s="188">
        <v>28311</v>
      </c>
      <c r="L259" s="23" t="s">
        <v>1514</v>
      </c>
      <c r="M259" s="23" t="s">
        <v>6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</row>
    <row r="260" spans="1:31" x14ac:dyDescent="0.3">
      <c r="A260" s="176" t="s">
        <v>656</v>
      </c>
      <c r="B260" s="176" t="s">
        <v>657</v>
      </c>
      <c r="C260" s="25">
        <v>4161658481</v>
      </c>
      <c r="D260" s="188">
        <v>29702</v>
      </c>
      <c r="E260" s="23" t="s">
        <v>1515</v>
      </c>
      <c r="F260" s="23" t="s">
        <v>10</v>
      </c>
      <c r="G260" s="188"/>
      <c r="H260" s="176" t="s">
        <v>656</v>
      </c>
      <c r="I260" s="176" t="s">
        <v>657</v>
      </c>
      <c r="J260" s="25">
        <v>4161658481</v>
      </c>
      <c r="K260" s="188">
        <v>29702</v>
      </c>
      <c r="L260" s="23" t="s">
        <v>1515</v>
      </c>
      <c r="M260" s="23" t="s">
        <v>10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</row>
    <row r="261" spans="1:31" x14ac:dyDescent="0.3">
      <c r="A261" s="176" t="s">
        <v>184</v>
      </c>
      <c r="B261" s="176" t="s">
        <v>351</v>
      </c>
      <c r="C261" s="25">
        <v>5115228292</v>
      </c>
      <c r="D261" s="188">
        <v>32694</v>
      </c>
      <c r="E261" s="23" t="s">
        <v>1516</v>
      </c>
      <c r="F261" s="23" t="s">
        <v>33</v>
      </c>
      <c r="G261" s="188"/>
      <c r="H261" s="176" t="s">
        <v>184</v>
      </c>
      <c r="I261" s="176" t="s">
        <v>351</v>
      </c>
      <c r="J261" s="25">
        <v>5115228292</v>
      </c>
      <c r="K261" s="188">
        <v>32694</v>
      </c>
      <c r="L261" s="23" t="s">
        <v>1516</v>
      </c>
      <c r="M261" s="23" t="s">
        <v>33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</row>
    <row r="262" spans="1:31" x14ac:dyDescent="0.3">
      <c r="A262" s="176" t="s">
        <v>658</v>
      </c>
      <c r="B262" s="176" t="s">
        <v>659</v>
      </c>
      <c r="C262" s="25">
        <v>2184248455</v>
      </c>
      <c r="D262" s="188">
        <v>27859</v>
      </c>
      <c r="E262" s="23" t="s">
        <v>1517</v>
      </c>
      <c r="F262" s="23" t="s">
        <v>10</v>
      </c>
      <c r="G262" s="188"/>
      <c r="H262" s="176" t="s">
        <v>658</v>
      </c>
      <c r="I262" s="176" t="s">
        <v>659</v>
      </c>
      <c r="J262" s="25">
        <v>2184248455</v>
      </c>
      <c r="K262" s="188">
        <v>27859</v>
      </c>
      <c r="L262" s="23" t="s">
        <v>1517</v>
      </c>
      <c r="M262" s="23" t="s">
        <v>10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</row>
    <row r="263" spans="1:31" x14ac:dyDescent="0.3">
      <c r="A263" s="176" t="s">
        <v>660</v>
      </c>
      <c r="B263" s="176" t="s">
        <v>661</v>
      </c>
      <c r="C263" s="25">
        <v>2125780571</v>
      </c>
      <c r="D263" s="188">
        <v>27858</v>
      </c>
      <c r="E263" s="23" t="s">
        <v>1518</v>
      </c>
      <c r="F263" s="23" t="s">
        <v>10</v>
      </c>
      <c r="G263" s="188"/>
      <c r="H263" s="176" t="s">
        <v>660</v>
      </c>
      <c r="I263" s="176" t="s">
        <v>661</v>
      </c>
      <c r="J263" s="25">
        <v>2125780571</v>
      </c>
      <c r="K263" s="188">
        <v>27858</v>
      </c>
      <c r="L263" s="23" t="s">
        <v>1518</v>
      </c>
      <c r="M263" s="23" t="s">
        <v>10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</row>
    <row r="264" spans="1:31" x14ac:dyDescent="0.3">
      <c r="A264" s="176" t="s">
        <v>662</v>
      </c>
      <c r="B264" s="176" t="s">
        <v>275</v>
      </c>
      <c r="C264" s="25">
        <v>3181774590</v>
      </c>
      <c r="D264" s="188">
        <v>35747</v>
      </c>
      <c r="E264" s="23" t="s">
        <v>1519</v>
      </c>
      <c r="F264" s="23" t="s">
        <v>10</v>
      </c>
      <c r="G264" s="188"/>
      <c r="H264" s="176" t="s">
        <v>662</v>
      </c>
      <c r="I264" s="176" t="s">
        <v>275</v>
      </c>
      <c r="J264" s="25">
        <v>3181774590</v>
      </c>
      <c r="K264" s="188">
        <v>35747</v>
      </c>
      <c r="L264" s="23" t="s">
        <v>1519</v>
      </c>
      <c r="M264" s="23" t="s">
        <v>10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</row>
    <row r="265" spans="1:31" x14ac:dyDescent="0.3">
      <c r="A265" s="176" t="s">
        <v>214</v>
      </c>
      <c r="B265" s="176" t="s">
        <v>215</v>
      </c>
      <c r="C265" s="25">
        <v>9186101454</v>
      </c>
      <c r="D265" s="188">
        <v>29671</v>
      </c>
      <c r="E265" s="23" t="s">
        <v>1520</v>
      </c>
      <c r="F265" s="23" t="s">
        <v>10</v>
      </c>
      <c r="G265" s="188"/>
      <c r="H265" s="176" t="s">
        <v>214</v>
      </c>
      <c r="I265" s="176" t="s">
        <v>215</v>
      </c>
      <c r="J265" s="25">
        <v>9186101454</v>
      </c>
      <c r="K265" s="188">
        <v>29671</v>
      </c>
      <c r="L265" s="23" t="s">
        <v>1520</v>
      </c>
      <c r="M265" s="23" t="s">
        <v>10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</row>
    <row r="266" spans="1:31" x14ac:dyDescent="0.3">
      <c r="A266" s="176" t="s">
        <v>182</v>
      </c>
      <c r="B266" s="176" t="s">
        <v>399</v>
      </c>
      <c r="C266" s="25">
        <v>6158317543</v>
      </c>
      <c r="D266" s="188">
        <v>35708</v>
      </c>
      <c r="E266" s="23" t="s">
        <v>1521</v>
      </c>
      <c r="F266" s="23" t="s">
        <v>10</v>
      </c>
      <c r="G266" s="188"/>
      <c r="H266" s="176" t="s">
        <v>182</v>
      </c>
      <c r="I266" s="176" t="s">
        <v>399</v>
      </c>
      <c r="J266" s="25">
        <v>6158317543</v>
      </c>
      <c r="K266" s="188">
        <v>35708</v>
      </c>
      <c r="L266" s="23" t="s">
        <v>1521</v>
      </c>
      <c r="M266" s="23" t="s">
        <v>10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</row>
    <row r="267" spans="1:31" x14ac:dyDescent="0.3">
      <c r="A267" s="176" t="s">
        <v>663</v>
      </c>
      <c r="B267" s="176" t="s">
        <v>281</v>
      </c>
      <c r="C267" s="25">
        <v>3073919445</v>
      </c>
      <c r="D267" s="188">
        <v>28497</v>
      </c>
      <c r="E267" s="23" t="s">
        <v>1522</v>
      </c>
      <c r="F267" s="23" t="s">
        <v>10</v>
      </c>
      <c r="G267" s="188"/>
      <c r="H267" s="176" t="s">
        <v>663</v>
      </c>
      <c r="I267" s="176" t="s">
        <v>281</v>
      </c>
      <c r="J267" s="25">
        <v>3073919445</v>
      </c>
      <c r="K267" s="188">
        <v>28497</v>
      </c>
      <c r="L267" s="23" t="s">
        <v>1522</v>
      </c>
      <c r="M267" s="23" t="s">
        <v>10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</row>
    <row r="268" spans="1:31" x14ac:dyDescent="0.3">
      <c r="A268" s="176" t="s">
        <v>664</v>
      </c>
      <c r="B268" s="176" t="s">
        <v>423</v>
      </c>
      <c r="C268" s="25">
        <v>3173441810</v>
      </c>
      <c r="D268" s="188">
        <v>29369</v>
      </c>
      <c r="E268" s="23" t="s">
        <v>1523</v>
      </c>
      <c r="F268" s="23" t="s">
        <v>10</v>
      </c>
      <c r="G268" s="188"/>
      <c r="H268" s="176" t="s">
        <v>664</v>
      </c>
      <c r="I268" s="176" t="s">
        <v>423</v>
      </c>
      <c r="J268" s="25">
        <v>3173441810</v>
      </c>
      <c r="K268" s="188">
        <v>29369</v>
      </c>
      <c r="L268" s="23" t="s">
        <v>1523</v>
      </c>
      <c r="M268" s="23" t="s">
        <v>10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</row>
    <row r="269" spans="1:31" x14ac:dyDescent="0.3">
      <c r="A269" s="176" t="s">
        <v>665</v>
      </c>
      <c r="B269" s="176" t="s">
        <v>589</v>
      </c>
      <c r="C269" s="25">
        <v>7112888726</v>
      </c>
      <c r="D269" s="188">
        <v>29787</v>
      </c>
      <c r="E269" s="23" t="s">
        <v>1524</v>
      </c>
      <c r="F269" s="23" t="s">
        <v>6</v>
      </c>
      <c r="G269" s="188"/>
      <c r="H269" s="176" t="s">
        <v>665</v>
      </c>
      <c r="I269" s="176" t="s">
        <v>589</v>
      </c>
      <c r="J269" s="25">
        <v>7112888726</v>
      </c>
      <c r="K269" s="188">
        <v>29787</v>
      </c>
      <c r="L269" s="23" t="s">
        <v>1524</v>
      </c>
      <c r="M269" s="23" t="s">
        <v>6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</row>
    <row r="270" spans="1:31" x14ac:dyDescent="0.3">
      <c r="A270" s="176" t="s">
        <v>666</v>
      </c>
      <c r="B270" s="176" t="s">
        <v>667</v>
      </c>
      <c r="C270" s="25">
        <v>2122520526</v>
      </c>
      <c r="D270" s="188">
        <v>35194</v>
      </c>
      <c r="E270" s="23" t="s">
        <v>1525</v>
      </c>
      <c r="F270" s="23" t="s">
        <v>10</v>
      </c>
      <c r="G270" s="188"/>
      <c r="H270" s="176" t="s">
        <v>666</v>
      </c>
      <c r="I270" s="176" t="s">
        <v>667</v>
      </c>
      <c r="J270" s="25">
        <v>2122520526</v>
      </c>
      <c r="K270" s="188">
        <v>35194</v>
      </c>
      <c r="L270" s="23" t="s">
        <v>1525</v>
      </c>
      <c r="M270" s="23" t="s">
        <v>10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</row>
    <row r="271" spans="1:31" x14ac:dyDescent="0.3">
      <c r="A271" s="176" t="s">
        <v>668</v>
      </c>
      <c r="B271" s="176" t="s">
        <v>669</v>
      </c>
      <c r="C271" s="25">
        <v>4046711140</v>
      </c>
      <c r="D271" s="188">
        <v>28025</v>
      </c>
      <c r="E271" s="23" t="s">
        <v>1526</v>
      </c>
      <c r="F271" s="23" t="s">
        <v>6</v>
      </c>
      <c r="G271" s="188"/>
      <c r="H271" s="176" t="s">
        <v>668</v>
      </c>
      <c r="I271" s="176" t="s">
        <v>669</v>
      </c>
      <c r="J271" s="25">
        <v>4046711140</v>
      </c>
      <c r="K271" s="188">
        <v>28025</v>
      </c>
      <c r="L271" s="23" t="s">
        <v>1526</v>
      </c>
      <c r="M271" s="23" t="s">
        <v>6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</row>
    <row r="272" spans="1:31" x14ac:dyDescent="0.3">
      <c r="A272" s="176" t="s">
        <v>670</v>
      </c>
      <c r="B272" s="176" t="s">
        <v>671</v>
      </c>
      <c r="C272" s="25">
        <v>7042792063</v>
      </c>
      <c r="D272" s="188">
        <v>27920</v>
      </c>
      <c r="E272" s="23" t="s">
        <v>1527</v>
      </c>
      <c r="F272" s="23" t="s">
        <v>10</v>
      </c>
      <c r="G272" s="188"/>
      <c r="H272" s="176" t="s">
        <v>670</v>
      </c>
      <c r="I272" s="176" t="s">
        <v>671</v>
      </c>
      <c r="J272" s="25">
        <v>7042792063</v>
      </c>
      <c r="K272" s="188">
        <v>27920</v>
      </c>
      <c r="L272" s="23" t="s">
        <v>1527</v>
      </c>
      <c r="M272" s="23" t="s">
        <v>10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</row>
    <row r="273" spans="1:31" x14ac:dyDescent="0.3">
      <c r="A273" s="176" t="s">
        <v>672</v>
      </c>
      <c r="B273" s="176" t="s">
        <v>673</v>
      </c>
      <c r="C273" s="25">
        <v>4195478716</v>
      </c>
      <c r="D273" s="188">
        <v>28613</v>
      </c>
      <c r="E273" s="23" t="s">
        <v>1528</v>
      </c>
      <c r="F273" s="23" t="s">
        <v>6</v>
      </c>
      <c r="G273" s="188"/>
      <c r="H273" s="176" t="s">
        <v>672</v>
      </c>
      <c r="I273" s="176" t="s">
        <v>673</v>
      </c>
      <c r="J273" s="25">
        <v>4195478716</v>
      </c>
      <c r="K273" s="188">
        <v>28613</v>
      </c>
      <c r="L273" s="23" t="s">
        <v>1528</v>
      </c>
      <c r="M273" s="23" t="s">
        <v>6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</row>
    <row r="274" spans="1:31" x14ac:dyDescent="0.3">
      <c r="A274" s="176" t="s">
        <v>674</v>
      </c>
      <c r="B274" s="176" t="s">
        <v>509</v>
      </c>
      <c r="C274" s="25">
        <v>7145832994</v>
      </c>
      <c r="D274" s="188">
        <v>28933</v>
      </c>
      <c r="E274" s="23" t="s">
        <v>1529</v>
      </c>
      <c r="F274" s="23" t="s">
        <v>33</v>
      </c>
      <c r="G274" s="188"/>
      <c r="H274" s="176" t="s">
        <v>674</v>
      </c>
      <c r="I274" s="176" t="s">
        <v>509</v>
      </c>
      <c r="J274" s="25">
        <v>7145832994</v>
      </c>
      <c r="K274" s="188">
        <v>28933</v>
      </c>
      <c r="L274" s="23" t="s">
        <v>1529</v>
      </c>
      <c r="M274" s="23" t="s">
        <v>33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</row>
    <row r="275" spans="1:31" x14ac:dyDescent="0.3">
      <c r="A275" s="176" t="s">
        <v>675</v>
      </c>
      <c r="B275" s="176" t="s">
        <v>310</v>
      </c>
      <c r="C275" s="25">
        <v>8135592950</v>
      </c>
      <c r="D275" s="188">
        <v>29787</v>
      </c>
      <c r="E275" s="23" t="s">
        <v>1530</v>
      </c>
      <c r="F275" s="23" t="s">
        <v>10</v>
      </c>
      <c r="G275" s="188"/>
      <c r="H275" s="176" t="s">
        <v>675</v>
      </c>
      <c r="I275" s="176" t="s">
        <v>310</v>
      </c>
      <c r="J275" s="25">
        <v>8135592950</v>
      </c>
      <c r="K275" s="188">
        <v>29787</v>
      </c>
      <c r="L275" s="23" t="s">
        <v>1530</v>
      </c>
      <c r="M275" s="23" t="s">
        <v>10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</row>
    <row r="276" spans="1:31" x14ac:dyDescent="0.3">
      <c r="A276" s="176" t="s">
        <v>676</v>
      </c>
      <c r="B276" s="176" t="s">
        <v>677</v>
      </c>
      <c r="C276" s="25">
        <v>7147038033</v>
      </c>
      <c r="D276" s="188">
        <v>30496</v>
      </c>
      <c r="E276" s="23" t="s">
        <v>1531</v>
      </c>
      <c r="F276" s="23" t="s">
        <v>18</v>
      </c>
      <c r="G276" s="188"/>
      <c r="H276" s="176" t="s">
        <v>676</v>
      </c>
      <c r="I276" s="176" t="s">
        <v>677</v>
      </c>
      <c r="J276" s="25">
        <v>7147038033</v>
      </c>
      <c r="K276" s="188">
        <v>30496</v>
      </c>
      <c r="L276" s="23" t="s">
        <v>1531</v>
      </c>
      <c r="M276" s="23" t="s">
        <v>18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</row>
    <row r="277" spans="1:31" x14ac:dyDescent="0.3">
      <c r="A277" s="176" t="s">
        <v>678</v>
      </c>
      <c r="B277" s="176" t="s">
        <v>550</v>
      </c>
      <c r="C277" s="25">
        <v>4146259106</v>
      </c>
      <c r="D277" s="188">
        <v>34693</v>
      </c>
      <c r="E277" s="23" t="s">
        <v>1532</v>
      </c>
      <c r="F277" s="23" t="s">
        <v>6</v>
      </c>
      <c r="G277" s="188"/>
      <c r="H277" s="176" t="s">
        <v>678</v>
      </c>
      <c r="I277" s="176" t="s">
        <v>550</v>
      </c>
      <c r="J277" s="25">
        <v>4146259106</v>
      </c>
      <c r="K277" s="188">
        <v>34693</v>
      </c>
      <c r="L277" s="23" t="s">
        <v>1532</v>
      </c>
      <c r="M277" s="23" t="s">
        <v>6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</row>
    <row r="278" spans="1:31" x14ac:dyDescent="0.3">
      <c r="A278" s="176" t="s">
        <v>679</v>
      </c>
      <c r="B278" s="176" t="s">
        <v>680</v>
      </c>
      <c r="C278" s="25">
        <v>2185252544</v>
      </c>
      <c r="D278" s="188">
        <v>29899</v>
      </c>
      <c r="E278" s="23" t="s">
        <v>1533</v>
      </c>
      <c r="F278" s="23" t="s">
        <v>10</v>
      </c>
      <c r="G278" s="188"/>
      <c r="H278" s="176" t="s">
        <v>679</v>
      </c>
      <c r="I278" s="176" t="s">
        <v>680</v>
      </c>
      <c r="J278" s="25">
        <v>2185252544</v>
      </c>
      <c r="K278" s="188">
        <v>29899</v>
      </c>
      <c r="L278" s="23" t="s">
        <v>1533</v>
      </c>
      <c r="M278" s="23" t="s">
        <v>10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</row>
    <row r="279" spans="1:31" x14ac:dyDescent="0.3">
      <c r="A279" s="176" t="s">
        <v>681</v>
      </c>
      <c r="B279" s="176" t="s">
        <v>682</v>
      </c>
      <c r="C279" s="25">
        <v>6044221208</v>
      </c>
      <c r="D279" s="188">
        <v>33339</v>
      </c>
      <c r="E279" s="23" t="s">
        <v>1534</v>
      </c>
      <c r="F279" s="23" t="s">
        <v>6</v>
      </c>
      <c r="G279" s="188"/>
      <c r="H279" s="176" t="s">
        <v>681</v>
      </c>
      <c r="I279" s="176" t="s">
        <v>682</v>
      </c>
      <c r="J279" s="25">
        <v>6044221208</v>
      </c>
      <c r="K279" s="188">
        <v>33339</v>
      </c>
      <c r="L279" s="23" t="s">
        <v>1534</v>
      </c>
      <c r="M279" s="23" t="s">
        <v>6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</row>
    <row r="280" spans="1:31" x14ac:dyDescent="0.3">
      <c r="A280" s="176" t="s">
        <v>683</v>
      </c>
      <c r="B280" s="176" t="s">
        <v>684</v>
      </c>
      <c r="C280" s="25">
        <v>7117682821</v>
      </c>
      <c r="D280" s="188">
        <v>34836</v>
      </c>
      <c r="E280" s="23" t="s">
        <v>1535</v>
      </c>
      <c r="F280" s="23" t="s">
        <v>10</v>
      </c>
      <c r="G280" s="188"/>
      <c r="H280" s="176" t="s">
        <v>683</v>
      </c>
      <c r="I280" s="176" t="s">
        <v>684</v>
      </c>
      <c r="J280" s="25">
        <v>7117682821</v>
      </c>
      <c r="K280" s="188">
        <v>34836</v>
      </c>
      <c r="L280" s="23" t="s">
        <v>1535</v>
      </c>
      <c r="M280" s="23" t="s">
        <v>10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</row>
    <row r="281" spans="1:31" x14ac:dyDescent="0.3">
      <c r="A281" s="176" t="s">
        <v>685</v>
      </c>
      <c r="B281" s="176" t="s">
        <v>281</v>
      </c>
      <c r="C281" s="25">
        <v>3073613559</v>
      </c>
      <c r="D281" s="188">
        <v>30039</v>
      </c>
      <c r="E281" s="23" t="s">
        <v>1536</v>
      </c>
      <c r="F281" s="23" t="s">
        <v>10</v>
      </c>
      <c r="G281" s="188"/>
      <c r="H281" s="176" t="s">
        <v>685</v>
      </c>
      <c r="I281" s="176" t="s">
        <v>281</v>
      </c>
      <c r="J281" s="25">
        <v>3073613559</v>
      </c>
      <c r="K281" s="188">
        <v>30039</v>
      </c>
      <c r="L281" s="23" t="s">
        <v>1536</v>
      </c>
      <c r="M281" s="23" t="s">
        <v>10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</row>
    <row r="282" spans="1:31" x14ac:dyDescent="0.3">
      <c r="A282" s="176" t="s">
        <v>686</v>
      </c>
      <c r="B282" s="176" t="s">
        <v>453</v>
      </c>
      <c r="C282" s="25">
        <v>2062687844</v>
      </c>
      <c r="D282" s="188">
        <v>29379</v>
      </c>
      <c r="E282" s="23" t="s">
        <v>1537</v>
      </c>
      <c r="F282" s="23" t="s">
        <v>10</v>
      </c>
      <c r="G282" s="188"/>
      <c r="H282" s="176" t="s">
        <v>686</v>
      </c>
      <c r="I282" s="176" t="s">
        <v>453</v>
      </c>
      <c r="J282" s="25">
        <v>2062687844</v>
      </c>
      <c r="K282" s="188">
        <v>29379</v>
      </c>
      <c r="L282" s="23" t="s">
        <v>1537</v>
      </c>
      <c r="M282" s="23" t="s">
        <v>10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</row>
    <row r="283" spans="1:31" x14ac:dyDescent="0.3">
      <c r="A283" s="176" t="s">
        <v>687</v>
      </c>
      <c r="B283" s="176" t="s">
        <v>688</v>
      </c>
      <c r="C283" s="25">
        <v>5128912054</v>
      </c>
      <c r="D283" s="188">
        <v>35625</v>
      </c>
      <c r="E283" s="23" t="s">
        <v>1538</v>
      </c>
      <c r="F283" s="23" t="s">
        <v>10</v>
      </c>
      <c r="G283" s="188"/>
      <c r="H283" s="176" t="s">
        <v>687</v>
      </c>
      <c r="I283" s="176" t="s">
        <v>688</v>
      </c>
      <c r="J283" s="25">
        <v>5128912054</v>
      </c>
      <c r="K283" s="188">
        <v>35625</v>
      </c>
      <c r="L283" s="23" t="s">
        <v>1538</v>
      </c>
      <c r="M283" s="23" t="s">
        <v>10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</row>
    <row r="284" spans="1:31" x14ac:dyDescent="0.3">
      <c r="A284" s="176" t="s">
        <v>689</v>
      </c>
      <c r="B284" s="176" t="s">
        <v>690</v>
      </c>
      <c r="C284" s="25">
        <v>9024626281</v>
      </c>
      <c r="D284" s="188">
        <v>29487</v>
      </c>
      <c r="E284" s="23" t="s">
        <v>1539</v>
      </c>
      <c r="F284" s="23" t="s">
        <v>10</v>
      </c>
      <c r="G284" s="188"/>
      <c r="H284" s="176" t="s">
        <v>689</v>
      </c>
      <c r="I284" s="176" t="s">
        <v>690</v>
      </c>
      <c r="J284" s="25">
        <v>9024626281</v>
      </c>
      <c r="K284" s="188">
        <v>29487</v>
      </c>
      <c r="L284" s="23" t="s">
        <v>1539</v>
      </c>
      <c r="M284" s="23" t="s">
        <v>10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</row>
    <row r="285" spans="1:31" x14ac:dyDescent="0.3">
      <c r="A285" s="176" t="s">
        <v>691</v>
      </c>
      <c r="B285" s="176" t="s">
        <v>344</v>
      </c>
      <c r="C285" s="25">
        <v>7111156902</v>
      </c>
      <c r="D285" s="188">
        <v>28537</v>
      </c>
      <c r="E285" s="23" t="s">
        <v>1540</v>
      </c>
      <c r="F285" s="23" t="s">
        <v>10</v>
      </c>
      <c r="G285" s="188"/>
      <c r="H285" s="176" t="s">
        <v>691</v>
      </c>
      <c r="I285" s="176" t="s">
        <v>344</v>
      </c>
      <c r="J285" s="25">
        <v>7111156902</v>
      </c>
      <c r="K285" s="188">
        <v>28537</v>
      </c>
      <c r="L285" s="23" t="s">
        <v>1540</v>
      </c>
      <c r="M285" s="23" t="s">
        <v>10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</row>
    <row r="286" spans="1:31" x14ac:dyDescent="0.3">
      <c r="A286" s="176" t="s">
        <v>692</v>
      </c>
      <c r="B286" s="176" t="s">
        <v>405</v>
      </c>
      <c r="C286" s="25">
        <v>7042172913</v>
      </c>
      <c r="D286" s="188">
        <v>30367</v>
      </c>
      <c r="E286" s="23" t="s">
        <v>1541</v>
      </c>
      <c r="F286" s="23" t="s">
        <v>6</v>
      </c>
      <c r="G286" s="188"/>
      <c r="H286" s="176" t="s">
        <v>692</v>
      </c>
      <c r="I286" s="176" t="s">
        <v>405</v>
      </c>
      <c r="J286" s="25">
        <v>7042172913</v>
      </c>
      <c r="K286" s="188">
        <v>30367</v>
      </c>
      <c r="L286" s="23" t="s">
        <v>1541</v>
      </c>
      <c r="M286" s="23" t="s">
        <v>6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</row>
    <row r="287" spans="1:31" x14ac:dyDescent="0.3">
      <c r="A287" s="176" t="s">
        <v>693</v>
      </c>
      <c r="B287" s="176" t="s">
        <v>694</v>
      </c>
      <c r="C287" s="25">
        <v>4044249228</v>
      </c>
      <c r="D287" s="188">
        <v>31933</v>
      </c>
      <c r="E287" s="23" t="s">
        <v>1542</v>
      </c>
      <c r="F287" s="23" t="s">
        <v>10</v>
      </c>
      <c r="G287" s="188"/>
      <c r="H287" s="176" t="s">
        <v>693</v>
      </c>
      <c r="I287" s="176" t="s">
        <v>694</v>
      </c>
      <c r="J287" s="25">
        <v>4044249228</v>
      </c>
      <c r="K287" s="188">
        <v>31933</v>
      </c>
      <c r="L287" s="23" t="s">
        <v>1542</v>
      </c>
      <c r="M287" s="23" t="s">
        <v>10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</row>
    <row r="288" spans="1:31" x14ac:dyDescent="0.3">
      <c r="A288" s="176" t="s">
        <v>695</v>
      </c>
      <c r="B288" s="176" t="s">
        <v>395</v>
      </c>
      <c r="C288" s="25">
        <v>7021163627</v>
      </c>
      <c r="D288" s="188">
        <v>32417</v>
      </c>
      <c r="E288" s="23" t="s">
        <v>1543</v>
      </c>
      <c r="F288" s="23" t="s">
        <v>10</v>
      </c>
      <c r="G288" s="188"/>
      <c r="H288" s="176" t="s">
        <v>695</v>
      </c>
      <c r="I288" s="176" t="s">
        <v>395</v>
      </c>
      <c r="J288" s="25">
        <v>7021163627</v>
      </c>
      <c r="K288" s="188">
        <v>32417</v>
      </c>
      <c r="L288" s="23" t="s">
        <v>1543</v>
      </c>
      <c r="M288" s="23" t="s">
        <v>10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</row>
    <row r="289" spans="1:31" x14ac:dyDescent="0.3">
      <c r="A289" s="176" t="s">
        <v>696</v>
      </c>
      <c r="B289" s="176" t="s">
        <v>697</v>
      </c>
      <c r="C289" s="25">
        <v>7063922629</v>
      </c>
      <c r="D289" s="188">
        <v>32648</v>
      </c>
      <c r="E289" s="23" t="s">
        <v>1544</v>
      </c>
      <c r="F289" s="23" t="s">
        <v>6</v>
      </c>
      <c r="G289" s="188"/>
      <c r="H289" s="176" t="s">
        <v>696</v>
      </c>
      <c r="I289" s="176" t="s">
        <v>697</v>
      </c>
      <c r="J289" s="25">
        <v>7063922629</v>
      </c>
      <c r="K289" s="188">
        <v>32648</v>
      </c>
      <c r="L289" s="23" t="s">
        <v>1544</v>
      </c>
      <c r="M289" s="23" t="s">
        <v>6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</row>
    <row r="290" spans="1:31" x14ac:dyDescent="0.3">
      <c r="A290" s="176" t="s">
        <v>698</v>
      </c>
      <c r="B290" s="176" t="s">
        <v>699</v>
      </c>
      <c r="C290" s="25">
        <v>3066422185</v>
      </c>
      <c r="D290" s="188">
        <v>32663</v>
      </c>
      <c r="E290" s="23" t="s">
        <v>1545</v>
      </c>
      <c r="F290" s="23" t="s">
        <v>10</v>
      </c>
      <c r="G290" s="188"/>
      <c r="H290" s="176" t="s">
        <v>698</v>
      </c>
      <c r="I290" s="176" t="s">
        <v>699</v>
      </c>
      <c r="J290" s="25">
        <v>3066422185</v>
      </c>
      <c r="K290" s="188">
        <v>32663</v>
      </c>
      <c r="L290" s="23" t="s">
        <v>1545</v>
      </c>
      <c r="M290" s="23" t="s">
        <v>10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</row>
    <row r="291" spans="1:31" x14ac:dyDescent="0.3">
      <c r="A291" s="176" t="s">
        <v>700</v>
      </c>
      <c r="B291" s="176" t="s">
        <v>453</v>
      </c>
      <c r="C291" s="25">
        <v>2152433774</v>
      </c>
      <c r="D291" s="188">
        <v>32789</v>
      </c>
      <c r="E291" s="23" t="s">
        <v>1546</v>
      </c>
      <c r="F291" s="23" t="s">
        <v>6</v>
      </c>
      <c r="G291" s="188"/>
      <c r="H291" s="176" t="s">
        <v>700</v>
      </c>
      <c r="I291" s="176" t="s">
        <v>453</v>
      </c>
      <c r="J291" s="25">
        <v>2152433774</v>
      </c>
      <c r="K291" s="188">
        <v>32789</v>
      </c>
      <c r="L291" s="23" t="s">
        <v>1546</v>
      </c>
      <c r="M291" s="23" t="s">
        <v>6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</row>
    <row r="292" spans="1:31" x14ac:dyDescent="0.3">
      <c r="A292" s="176" t="s">
        <v>701</v>
      </c>
      <c r="B292" s="176" t="s">
        <v>506</v>
      </c>
      <c r="C292" s="25">
        <v>9113040292</v>
      </c>
      <c r="D292" s="188">
        <v>32694</v>
      </c>
      <c r="E292" s="23" t="s">
        <v>1547</v>
      </c>
      <c r="F292" s="23" t="s">
        <v>10</v>
      </c>
      <c r="G292" s="188"/>
      <c r="H292" s="176" t="s">
        <v>701</v>
      </c>
      <c r="I292" s="176" t="s">
        <v>506</v>
      </c>
      <c r="J292" s="25">
        <v>9113040292</v>
      </c>
      <c r="K292" s="188">
        <v>32694</v>
      </c>
      <c r="L292" s="23" t="s">
        <v>1547</v>
      </c>
      <c r="M292" s="23" t="s">
        <v>10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</row>
    <row r="293" spans="1:31" x14ac:dyDescent="0.3">
      <c r="A293" s="176" t="s">
        <v>702</v>
      </c>
      <c r="B293" s="176" t="s">
        <v>703</v>
      </c>
      <c r="C293" s="25">
        <v>8085882405</v>
      </c>
      <c r="D293" s="188">
        <v>27859</v>
      </c>
      <c r="E293" s="23" t="s">
        <v>1548</v>
      </c>
      <c r="F293" s="23" t="s">
        <v>18</v>
      </c>
      <c r="G293" s="188"/>
      <c r="H293" s="176" t="s">
        <v>702</v>
      </c>
      <c r="I293" s="176" t="s">
        <v>703</v>
      </c>
      <c r="J293" s="25">
        <v>8085882405</v>
      </c>
      <c r="K293" s="188">
        <v>27859</v>
      </c>
      <c r="L293" s="23" t="s">
        <v>1548</v>
      </c>
      <c r="M293" s="23" t="s">
        <v>18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</row>
    <row r="294" spans="1:31" x14ac:dyDescent="0.3">
      <c r="A294" s="176" t="s">
        <v>704</v>
      </c>
      <c r="B294" s="176" t="s">
        <v>490</v>
      </c>
      <c r="C294" s="25">
        <v>3031630739</v>
      </c>
      <c r="D294" s="188">
        <v>27858</v>
      </c>
      <c r="E294" s="23" t="s">
        <v>1549</v>
      </c>
      <c r="F294" s="23" t="s">
        <v>10</v>
      </c>
      <c r="G294" s="188"/>
      <c r="H294" s="176" t="s">
        <v>704</v>
      </c>
      <c r="I294" s="176" t="s">
        <v>490</v>
      </c>
      <c r="J294" s="25">
        <v>3031630739</v>
      </c>
      <c r="K294" s="188">
        <v>27858</v>
      </c>
      <c r="L294" s="23" t="s">
        <v>1549</v>
      </c>
      <c r="M294" s="23" t="s">
        <v>10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</row>
    <row r="295" spans="1:31" x14ac:dyDescent="0.3">
      <c r="A295" s="176" t="s">
        <v>705</v>
      </c>
      <c r="B295" s="176" t="s">
        <v>447</v>
      </c>
      <c r="C295" s="25">
        <v>2011277028</v>
      </c>
      <c r="D295" s="188">
        <v>35747</v>
      </c>
      <c r="E295" s="23" t="s">
        <v>1550</v>
      </c>
      <c r="F295" s="23" t="s">
        <v>10</v>
      </c>
      <c r="G295" s="188"/>
      <c r="H295" s="176" t="s">
        <v>705</v>
      </c>
      <c r="I295" s="176" t="s">
        <v>447</v>
      </c>
      <c r="J295" s="25">
        <v>2011277028</v>
      </c>
      <c r="K295" s="188">
        <v>35747</v>
      </c>
      <c r="L295" s="23" t="s">
        <v>1550</v>
      </c>
      <c r="M295" s="23" t="s">
        <v>10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</row>
    <row r="296" spans="1:31" x14ac:dyDescent="0.3">
      <c r="A296" s="176" t="s">
        <v>205</v>
      </c>
      <c r="B296" s="176" t="s">
        <v>453</v>
      </c>
      <c r="C296" s="25">
        <v>9146999991</v>
      </c>
      <c r="D296" s="188">
        <v>29671</v>
      </c>
      <c r="E296" s="23" t="s">
        <v>1551</v>
      </c>
      <c r="F296" s="23" t="s">
        <v>6</v>
      </c>
      <c r="G296" s="188"/>
      <c r="H296" s="176" t="s">
        <v>205</v>
      </c>
      <c r="I296" s="176" t="s">
        <v>453</v>
      </c>
      <c r="J296" s="25">
        <v>9146999991</v>
      </c>
      <c r="K296" s="188">
        <v>29671</v>
      </c>
      <c r="L296" s="23" t="s">
        <v>1551</v>
      </c>
      <c r="M296" s="23" t="s">
        <v>6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</row>
    <row r="297" spans="1:31" x14ac:dyDescent="0.3">
      <c r="A297" s="176" t="s">
        <v>706</v>
      </c>
      <c r="B297" s="176" t="s">
        <v>351</v>
      </c>
      <c r="C297" s="25">
        <v>6091780498</v>
      </c>
      <c r="D297" s="188">
        <v>35708</v>
      </c>
      <c r="E297" s="23" t="s">
        <v>1552</v>
      </c>
      <c r="F297" s="23" t="s">
        <v>6</v>
      </c>
      <c r="G297" s="188"/>
      <c r="H297" s="176" t="s">
        <v>706</v>
      </c>
      <c r="I297" s="176" t="s">
        <v>351</v>
      </c>
      <c r="J297" s="25">
        <v>6091780498</v>
      </c>
      <c r="K297" s="188">
        <v>35708</v>
      </c>
      <c r="L297" s="23" t="s">
        <v>1552</v>
      </c>
      <c r="M297" s="23" t="s">
        <v>6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</row>
    <row r="298" spans="1:31" x14ac:dyDescent="0.3">
      <c r="A298" s="176" t="s">
        <v>707</v>
      </c>
      <c r="B298" s="176" t="s">
        <v>708</v>
      </c>
      <c r="C298" s="25">
        <v>5161534053</v>
      </c>
      <c r="D298" s="188">
        <v>28497</v>
      </c>
      <c r="E298" s="23" t="s">
        <v>1523</v>
      </c>
      <c r="F298" s="23" t="s">
        <v>18</v>
      </c>
      <c r="G298" s="188"/>
      <c r="H298" s="176" t="s">
        <v>707</v>
      </c>
      <c r="I298" s="176" t="s">
        <v>708</v>
      </c>
      <c r="J298" s="25">
        <v>5161534053</v>
      </c>
      <c r="K298" s="188">
        <v>28497</v>
      </c>
      <c r="L298" s="23" t="s">
        <v>1523</v>
      </c>
      <c r="M298" s="23" t="s">
        <v>18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</row>
    <row r="299" spans="1:31" x14ac:dyDescent="0.3">
      <c r="A299" s="176" t="s">
        <v>709</v>
      </c>
      <c r="B299" s="176" t="s">
        <v>710</v>
      </c>
      <c r="C299" s="25">
        <v>2121667727</v>
      </c>
      <c r="D299" s="188">
        <v>29369</v>
      </c>
      <c r="E299" s="23" t="s">
        <v>1553</v>
      </c>
      <c r="F299" s="23" t="s">
        <v>6</v>
      </c>
      <c r="G299" s="188"/>
      <c r="H299" s="176" t="s">
        <v>709</v>
      </c>
      <c r="I299" s="176" t="s">
        <v>710</v>
      </c>
      <c r="J299" s="25">
        <v>2121667727</v>
      </c>
      <c r="K299" s="188">
        <v>29369</v>
      </c>
      <c r="L299" s="23" t="s">
        <v>1553</v>
      </c>
      <c r="M299" s="23" t="s">
        <v>6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</row>
    <row r="300" spans="1:31" x14ac:dyDescent="0.3">
      <c r="A300" s="176" t="s">
        <v>711</v>
      </c>
      <c r="B300" s="176" t="s">
        <v>712</v>
      </c>
      <c r="C300" s="25">
        <v>4054483888</v>
      </c>
      <c r="D300" s="188">
        <v>29787</v>
      </c>
      <c r="E300" s="23" t="s">
        <v>1554</v>
      </c>
      <c r="F300" s="23" t="s">
        <v>10</v>
      </c>
      <c r="G300" s="188"/>
      <c r="H300" s="176" t="s">
        <v>711</v>
      </c>
      <c r="I300" s="176" t="s">
        <v>712</v>
      </c>
      <c r="J300" s="25">
        <v>4054483888</v>
      </c>
      <c r="K300" s="188">
        <v>29787</v>
      </c>
      <c r="L300" s="23" t="s">
        <v>1554</v>
      </c>
      <c r="M300" s="23" t="s">
        <v>10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</row>
    <row r="301" spans="1:31" x14ac:dyDescent="0.3">
      <c r="A301" s="176" t="s">
        <v>713</v>
      </c>
      <c r="B301" s="176" t="s">
        <v>714</v>
      </c>
      <c r="C301" s="25">
        <v>4176738901</v>
      </c>
      <c r="D301" s="188">
        <v>35194</v>
      </c>
      <c r="E301" s="23" t="s">
        <v>1555</v>
      </c>
      <c r="F301" s="23" t="s">
        <v>10</v>
      </c>
      <c r="G301" s="188"/>
      <c r="H301" s="176" t="s">
        <v>713</v>
      </c>
      <c r="I301" s="176" t="s">
        <v>714</v>
      </c>
      <c r="J301" s="25">
        <v>4176738901</v>
      </c>
      <c r="K301" s="188">
        <v>35194</v>
      </c>
      <c r="L301" s="23" t="s">
        <v>1555</v>
      </c>
      <c r="M301" s="23" t="s">
        <v>10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</row>
    <row r="302" spans="1:31" x14ac:dyDescent="0.3">
      <c r="A302" s="176" t="s">
        <v>715</v>
      </c>
      <c r="B302" s="176" t="s">
        <v>348</v>
      </c>
      <c r="C302" s="25">
        <v>5194252315</v>
      </c>
      <c r="D302" s="188">
        <v>28025</v>
      </c>
      <c r="E302" s="23" t="s">
        <v>1556</v>
      </c>
      <c r="F302" s="23" t="s">
        <v>10</v>
      </c>
      <c r="G302" s="188"/>
      <c r="H302" s="176" t="s">
        <v>715</v>
      </c>
      <c r="I302" s="176" t="s">
        <v>348</v>
      </c>
      <c r="J302" s="25">
        <v>5194252315</v>
      </c>
      <c r="K302" s="188">
        <v>28025</v>
      </c>
      <c r="L302" s="23" t="s">
        <v>1556</v>
      </c>
      <c r="M302" s="23" t="s">
        <v>10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</row>
    <row r="303" spans="1:31" x14ac:dyDescent="0.3">
      <c r="A303" s="176" t="s">
        <v>716</v>
      </c>
      <c r="B303" s="176" t="s">
        <v>717</v>
      </c>
      <c r="C303" s="25">
        <v>8166674988</v>
      </c>
      <c r="D303" s="188">
        <v>27920</v>
      </c>
      <c r="E303" s="23" t="s">
        <v>1557</v>
      </c>
      <c r="F303" s="23" t="s">
        <v>18</v>
      </c>
      <c r="G303" s="188"/>
      <c r="H303" s="176" t="s">
        <v>716</v>
      </c>
      <c r="I303" s="176" t="s">
        <v>717</v>
      </c>
      <c r="J303" s="25">
        <v>8166674988</v>
      </c>
      <c r="K303" s="188">
        <v>27920</v>
      </c>
      <c r="L303" s="23" t="s">
        <v>1557</v>
      </c>
      <c r="M303" s="23" t="s">
        <v>18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</row>
    <row r="304" spans="1:31" x14ac:dyDescent="0.3">
      <c r="A304" s="176" t="s">
        <v>718</v>
      </c>
      <c r="B304" s="176" t="s">
        <v>719</v>
      </c>
      <c r="C304" s="25">
        <v>9146532463</v>
      </c>
      <c r="D304" s="188">
        <v>28613</v>
      </c>
      <c r="E304" s="23" t="s">
        <v>1558</v>
      </c>
      <c r="F304" s="23" t="s">
        <v>10</v>
      </c>
      <c r="G304" s="188"/>
      <c r="H304" s="176" t="s">
        <v>718</v>
      </c>
      <c r="I304" s="176" t="s">
        <v>719</v>
      </c>
      <c r="J304" s="25">
        <v>9146532463</v>
      </c>
      <c r="K304" s="188">
        <v>28613</v>
      </c>
      <c r="L304" s="23" t="s">
        <v>1558</v>
      </c>
      <c r="M304" s="23" t="s">
        <v>10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</row>
    <row r="305" spans="1:31" x14ac:dyDescent="0.3">
      <c r="A305" s="176" t="s">
        <v>720</v>
      </c>
      <c r="B305" s="176" t="s">
        <v>453</v>
      </c>
      <c r="C305" s="25">
        <v>8134018412</v>
      </c>
      <c r="D305" s="188">
        <v>28933</v>
      </c>
      <c r="E305" s="23" t="s">
        <v>1559</v>
      </c>
      <c r="F305" s="23" t="s">
        <v>33</v>
      </c>
      <c r="G305" s="188"/>
      <c r="H305" s="176" t="s">
        <v>720</v>
      </c>
      <c r="I305" s="176" t="s">
        <v>453</v>
      </c>
      <c r="J305" s="25">
        <v>8134018412</v>
      </c>
      <c r="K305" s="188">
        <v>28933</v>
      </c>
      <c r="L305" s="23" t="s">
        <v>1559</v>
      </c>
      <c r="M305" s="23" t="s">
        <v>33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</row>
    <row r="306" spans="1:31" x14ac:dyDescent="0.3">
      <c r="A306" s="176" t="s">
        <v>721</v>
      </c>
      <c r="B306" s="176" t="s">
        <v>304</v>
      </c>
      <c r="C306" s="25">
        <v>8091384592</v>
      </c>
      <c r="D306" s="188">
        <v>29787</v>
      </c>
      <c r="E306" s="23" t="s">
        <v>1560</v>
      </c>
      <c r="F306" s="23" t="s">
        <v>18</v>
      </c>
      <c r="G306" s="188"/>
      <c r="H306" s="176" t="s">
        <v>721</v>
      </c>
      <c r="I306" s="176" t="s">
        <v>304</v>
      </c>
      <c r="J306" s="25">
        <v>8091384592</v>
      </c>
      <c r="K306" s="188">
        <v>29787</v>
      </c>
      <c r="L306" s="23" t="s">
        <v>1560</v>
      </c>
      <c r="M306" s="23" t="s">
        <v>18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</row>
    <row r="307" spans="1:31" x14ac:dyDescent="0.3">
      <c r="A307" s="176" t="s">
        <v>722</v>
      </c>
      <c r="B307" s="176" t="s">
        <v>680</v>
      </c>
      <c r="C307" s="25">
        <v>5015858234</v>
      </c>
      <c r="D307" s="188">
        <v>30496</v>
      </c>
      <c r="E307" s="23" t="s">
        <v>1561</v>
      </c>
      <c r="F307" s="23" t="s">
        <v>10</v>
      </c>
      <c r="G307" s="188"/>
      <c r="H307" s="176" t="s">
        <v>722</v>
      </c>
      <c r="I307" s="176" t="s">
        <v>680</v>
      </c>
      <c r="J307" s="25">
        <v>5015858234</v>
      </c>
      <c r="K307" s="188">
        <v>30496</v>
      </c>
      <c r="L307" s="23" t="s">
        <v>1561</v>
      </c>
      <c r="M307" s="23" t="s">
        <v>10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</row>
    <row r="308" spans="1:31" x14ac:dyDescent="0.3">
      <c r="A308" s="176" t="s">
        <v>723</v>
      </c>
      <c r="B308" s="176" t="s">
        <v>557</v>
      </c>
      <c r="C308" s="25">
        <v>8174679864</v>
      </c>
      <c r="D308" s="188">
        <v>34693</v>
      </c>
      <c r="E308" s="23" t="s">
        <v>1323</v>
      </c>
      <c r="F308" s="23" t="s">
        <v>6</v>
      </c>
      <c r="G308" s="188"/>
      <c r="H308" s="176" t="s">
        <v>723</v>
      </c>
      <c r="I308" s="176" t="s">
        <v>557</v>
      </c>
      <c r="J308" s="25">
        <v>8174679864</v>
      </c>
      <c r="K308" s="188">
        <v>34693</v>
      </c>
      <c r="L308" s="23" t="s">
        <v>1323</v>
      </c>
      <c r="M308" s="23" t="s">
        <v>6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</row>
    <row r="309" spans="1:31" x14ac:dyDescent="0.3">
      <c r="A309" s="176" t="s">
        <v>173</v>
      </c>
      <c r="B309" s="176" t="s">
        <v>314</v>
      </c>
      <c r="C309" s="25">
        <v>3031683770</v>
      </c>
      <c r="D309" s="188">
        <v>29899</v>
      </c>
      <c r="E309" s="23" t="s">
        <v>1562</v>
      </c>
      <c r="F309" s="23" t="s">
        <v>18</v>
      </c>
      <c r="G309" s="188"/>
      <c r="H309" s="176" t="s">
        <v>173</v>
      </c>
      <c r="I309" s="176" t="s">
        <v>314</v>
      </c>
      <c r="J309" s="25">
        <v>3031683770</v>
      </c>
      <c r="K309" s="188">
        <v>29899</v>
      </c>
      <c r="L309" s="23" t="s">
        <v>1562</v>
      </c>
      <c r="M309" s="23" t="s">
        <v>18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</row>
    <row r="310" spans="1:31" x14ac:dyDescent="0.3">
      <c r="A310" s="176" t="s">
        <v>724</v>
      </c>
      <c r="B310" s="176" t="s">
        <v>725</v>
      </c>
      <c r="C310" s="25">
        <v>9148012440</v>
      </c>
      <c r="D310" s="188">
        <v>33339</v>
      </c>
      <c r="E310" s="23" t="s">
        <v>1563</v>
      </c>
      <c r="F310" s="23" t="s">
        <v>18</v>
      </c>
      <c r="G310" s="188"/>
      <c r="H310" s="176" t="s">
        <v>724</v>
      </c>
      <c r="I310" s="176" t="s">
        <v>725</v>
      </c>
      <c r="J310" s="25">
        <v>9148012440</v>
      </c>
      <c r="K310" s="188">
        <v>33339</v>
      </c>
      <c r="L310" s="23" t="s">
        <v>1563</v>
      </c>
      <c r="M310" s="23" t="s">
        <v>18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</row>
    <row r="311" spans="1:31" x14ac:dyDescent="0.3">
      <c r="A311" s="176" t="s">
        <v>726</v>
      </c>
      <c r="B311" s="176" t="s">
        <v>727</v>
      </c>
      <c r="C311" s="25">
        <v>8054375399</v>
      </c>
      <c r="D311" s="188">
        <v>34836</v>
      </c>
      <c r="E311" s="23" t="s">
        <v>1564</v>
      </c>
      <c r="F311" s="23" t="s">
        <v>6</v>
      </c>
      <c r="G311" s="188"/>
      <c r="H311" s="176" t="s">
        <v>726</v>
      </c>
      <c r="I311" s="176" t="s">
        <v>727</v>
      </c>
      <c r="J311" s="25">
        <v>8054375399</v>
      </c>
      <c r="K311" s="188">
        <v>34836</v>
      </c>
      <c r="L311" s="23" t="s">
        <v>1564</v>
      </c>
      <c r="M311" s="23" t="s">
        <v>6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</row>
    <row r="312" spans="1:31" x14ac:dyDescent="0.3">
      <c r="A312" s="176" t="s">
        <v>728</v>
      </c>
      <c r="B312" s="176" t="s">
        <v>729</v>
      </c>
      <c r="C312" s="25">
        <v>2152683895</v>
      </c>
      <c r="D312" s="188">
        <v>30039</v>
      </c>
      <c r="E312" s="23" t="s">
        <v>1565</v>
      </c>
      <c r="F312" s="23" t="s">
        <v>6</v>
      </c>
      <c r="G312" s="188"/>
      <c r="H312" s="176" t="s">
        <v>728</v>
      </c>
      <c r="I312" s="176" t="s">
        <v>729</v>
      </c>
      <c r="J312" s="25">
        <v>2152683895</v>
      </c>
      <c r="K312" s="188">
        <v>30039</v>
      </c>
      <c r="L312" s="23" t="s">
        <v>1565</v>
      </c>
      <c r="M312" s="23" t="s">
        <v>6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</row>
    <row r="313" spans="1:31" x14ac:dyDescent="0.3">
      <c r="A313" s="176" t="s">
        <v>730</v>
      </c>
      <c r="B313" s="176" t="s">
        <v>684</v>
      </c>
      <c r="C313" s="25">
        <v>2093557946</v>
      </c>
      <c r="D313" s="188">
        <v>29379</v>
      </c>
      <c r="E313" s="23" t="s">
        <v>1511</v>
      </c>
      <c r="F313" s="23" t="s">
        <v>10</v>
      </c>
      <c r="G313" s="188"/>
      <c r="H313" s="176" t="s">
        <v>730</v>
      </c>
      <c r="I313" s="176" t="s">
        <v>684</v>
      </c>
      <c r="J313" s="25">
        <v>2093557946</v>
      </c>
      <c r="K313" s="188">
        <v>29379</v>
      </c>
      <c r="L313" s="23" t="s">
        <v>1511</v>
      </c>
      <c r="M313" s="23" t="s">
        <v>10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</row>
    <row r="314" spans="1:31" x14ac:dyDescent="0.3">
      <c r="A314" s="176" t="s">
        <v>731</v>
      </c>
      <c r="B314" s="176" t="s">
        <v>732</v>
      </c>
      <c r="C314" s="25">
        <v>4136410575</v>
      </c>
      <c r="D314" s="188">
        <v>35625</v>
      </c>
      <c r="E314" s="23" t="s">
        <v>1566</v>
      </c>
      <c r="F314" s="23" t="s">
        <v>33</v>
      </c>
      <c r="G314" s="188"/>
      <c r="H314" s="176" t="s">
        <v>731</v>
      </c>
      <c r="I314" s="176" t="s">
        <v>732</v>
      </c>
      <c r="J314" s="25">
        <v>4136410575</v>
      </c>
      <c r="K314" s="188">
        <v>35625</v>
      </c>
      <c r="L314" s="23" t="s">
        <v>1566</v>
      </c>
      <c r="M314" s="23" t="s">
        <v>33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</row>
    <row r="315" spans="1:31" x14ac:dyDescent="0.3">
      <c r="A315" s="176" t="s">
        <v>733</v>
      </c>
      <c r="B315" s="176" t="s">
        <v>734</v>
      </c>
      <c r="C315" s="25">
        <v>6111220758</v>
      </c>
      <c r="D315" s="188">
        <v>29487</v>
      </c>
      <c r="E315" s="23" t="s">
        <v>1567</v>
      </c>
      <c r="F315" s="23" t="s">
        <v>18</v>
      </c>
      <c r="G315" s="188"/>
      <c r="H315" s="176" t="s">
        <v>733</v>
      </c>
      <c r="I315" s="176" t="s">
        <v>734</v>
      </c>
      <c r="J315" s="25">
        <v>6111220758</v>
      </c>
      <c r="K315" s="188">
        <v>29487</v>
      </c>
      <c r="L315" s="23" t="s">
        <v>1567</v>
      </c>
      <c r="M315" s="23" t="s">
        <v>18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</row>
    <row r="316" spans="1:31" x14ac:dyDescent="0.3">
      <c r="A316" s="176" t="s">
        <v>735</v>
      </c>
      <c r="B316" s="176" t="s">
        <v>736</v>
      </c>
      <c r="C316" s="25">
        <v>2198159919</v>
      </c>
      <c r="D316" s="188">
        <v>28537</v>
      </c>
      <c r="E316" s="23" t="s">
        <v>1568</v>
      </c>
      <c r="F316" s="23" t="s">
        <v>10</v>
      </c>
      <c r="G316" s="188"/>
      <c r="H316" s="176" t="s">
        <v>735</v>
      </c>
      <c r="I316" s="176" t="s">
        <v>736</v>
      </c>
      <c r="J316" s="25">
        <v>2198159919</v>
      </c>
      <c r="K316" s="188">
        <v>28537</v>
      </c>
      <c r="L316" s="23" t="s">
        <v>1568</v>
      </c>
      <c r="M316" s="23" t="s">
        <v>10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</row>
    <row r="317" spans="1:31" x14ac:dyDescent="0.3">
      <c r="A317" s="176" t="s">
        <v>737</v>
      </c>
      <c r="B317" s="176" t="s">
        <v>738</v>
      </c>
      <c r="C317" s="25">
        <v>2074383168</v>
      </c>
      <c r="D317" s="188">
        <v>30367</v>
      </c>
      <c r="E317" s="23" t="s">
        <v>1569</v>
      </c>
      <c r="F317" s="23" t="s">
        <v>33</v>
      </c>
      <c r="G317" s="188"/>
      <c r="H317" s="176" t="s">
        <v>737</v>
      </c>
      <c r="I317" s="176" t="s">
        <v>738</v>
      </c>
      <c r="J317" s="25">
        <v>2074383168</v>
      </c>
      <c r="K317" s="188">
        <v>30367</v>
      </c>
      <c r="L317" s="23" t="s">
        <v>1569</v>
      </c>
      <c r="M317" s="23" t="s">
        <v>33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</row>
    <row r="318" spans="1:31" x14ac:dyDescent="0.3">
      <c r="A318" s="176" t="s">
        <v>167</v>
      </c>
      <c r="B318" s="176" t="s">
        <v>739</v>
      </c>
      <c r="C318" s="25">
        <v>3154264889</v>
      </c>
      <c r="D318" s="188">
        <v>31933</v>
      </c>
      <c r="E318" s="23" t="s">
        <v>1570</v>
      </c>
      <c r="F318" s="23" t="s">
        <v>6</v>
      </c>
      <c r="G318" s="188"/>
      <c r="H318" s="176" t="s">
        <v>167</v>
      </c>
      <c r="I318" s="176" t="s">
        <v>739</v>
      </c>
      <c r="J318" s="25">
        <v>3154264889</v>
      </c>
      <c r="K318" s="188">
        <v>31933</v>
      </c>
      <c r="L318" s="23" t="s">
        <v>1570</v>
      </c>
      <c r="M318" s="23" t="s">
        <v>6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</row>
    <row r="319" spans="1:31" x14ac:dyDescent="0.3">
      <c r="A319" s="176" t="s">
        <v>740</v>
      </c>
      <c r="B319" s="176" t="s">
        <v>690</v>
      </c>
      <c r="C319" s="25">
        <v>3171569304</v>
      </c>
      <c r="D319" s="188">
        <v>32417</v>
      </c>
      <c r="E319" s="23" t="s">
        <v>1571</v>
      </c>
      <c r="F319" s="23" t="s">
        <v>10</v>
      </c>
      <c r="G319" s="188"/>
      <c r="H319" s="176" t="s">
        <v>740</v>
      </c>
      <c r="I319" s="176" t="s">
        <v>690</v>
      </c>
      <c r="J319" s="25">
        <v>3171569304</v>
      </c>
      <c r="K319" s="188">
        <v>32417</v>
      </c>
      <c r="L319" s="23" t="s">
        <v>1571</v>
      </c>
      <c r="M319" s="23" t="s">
        <v>10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</row>
    <row r="320" spans="1:31" x14ac:dyDescent="0.3">
      <c r="A320" s="176" t="s">
        <v>181</v>
      </c>
      <c r="B320" s="176" t="s">
        <v>310</v>
      </c>
      <c r="C320" s="25">
        <v>7017764351</v>
      </c>
      <c r="D320" s="188">
        <v>32648</v>
      </c>
      <c r="E320" s="23" t="s">
        <v>1572</v>
      </c>
      <c r="F320" s="23" t="s">
        <v>10</v>
      </c>
      <c r="G320" s="188"/>
      <c r="H320" s="176" t="s">
        <v>181</v>
      </c>
      <c r="I320" s="176" t="s">
        <v>310</v>
      </c>
      <c r="J320" s="25">
        <v>7017764351</v>
      </c>
      <c r="K320" s="188">
        <v>32648</v>
      </c>
      <c r="L320" s="23" t="s">
        <v>1572</v>
      </c>
      <c r="M320" s="23" t="s">
        <v>10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</row>
    <row r="321" spans="1:31" x14ac:dyDescent="0.3">
      <c r="A321" s="176" t="s">
        <v>741</v>
      </c>
      <c r="B321" s="176" t="s">
        <v>447</v>
      </c>
      <c r="C321" s="25">
        <v>9181308831</v>
      </c>
      <c r="D321" s="188">
        <v>32663</v>
      </c>
      <c r="E321" s="23" t="s">
        <v>1573</v>
      </c>
      <c r="F321" s="23" t="s">
        <v>6</v>
      </c>
      <c r="G321" s="188"/>
      <c r="H321" s="176" t="s">
        <v>741</v>
      </c>
      <c r="I321" s="176" t="s">
        <v>447</v>
      </c>
      <c r="J321" s="25">
        <v>9181308831</v>
      </c>
      <c r="K321" s="188">
        <v>32663</v>
      </c>
      <c r="L321" s="23" t="s">
        <v>1573</v>
      </c>
      <c r="M321" s="23" t="s">
        <v>6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</row>
    <row r="322" spans="1:31" x14ac:dyDescent="0.3">
      <c r="A322" s="176" t="s">
        <v>742</v>
      </c>
      <c r="B322" s="176" t="s">
        <v>405</v>
      </c>
      <c r="C322" s="25">
        <v>2016354278</v>
      </c>
      <c r="D322" s="188">
        <v>32789</v>
      </c>
      <c r="E322" s="23" t="s">
        <v>1574</v>
      </c>
      <c r="F322" s="23" t="s">
        <v>10</v>
      </c>
      <c r="G322" s="188"/>
      <c r="H322" s="176" t="s">
        <v>742</v>
      </c>
      <c r="I322" s="176" t="s">
        <v>405</v>
      </c>
      <c r="J322" s="25">
        <v>2016354278</v>
      </c>
      <c r="K322" s="188">
        <v>32789</v>
      </c>
      <c r="L322" s="23" t="s">
        <v>1574</v>
      </c>
      <c r="M322" s="23" t="s">
        <v>10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</row>
    <row r="323" spans="1:31" x14ac:dyDescent="0.3">
      <c r="A323" s="176" t="s">
        <v>743</v>
      </c>
      <c r="B323" s="176" t="s">
        <v>744</v>
      </c>
      <c r="C323" s="25">
        <v>8023302808</v>
      </c>
      <c r="D323" s="188">
        <v>30152</v>
      </c>
      <c r="E323" s="23" t="s">
        <v>1575</v>
      </c>
      <c r="F323" s="23" t="s">
        <v>10</v>
      </c>
      <c r="G323" s="188"/>
      <c r="H323" s="176" t="s">
        <v>743</v>
      </c>
      <c r="I323" s="176" t="s">
        <v>744</v>
      </c>
      <c r="J323" s="25">
        <v>8023302808</v>
      </c>
      <c r="K323" s="188">
        <v>30152</v>
      </c>
      <c r="L323" s="23" t="s">
        <v>1575</v>
      </c>
      <c r="M323" s="23" t="s">
        <v>10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</row>
    <row r="324" spans="1:31" x14ac:dyDescent="0.3">
      <c r="A324" s="176" t="s">
        <v>210</v>
      </c>
      <c r="B324" s="176" t="s">
        <v>211</v>
      </c>
      <c r="C324" s="25">
        <v>5013748373</v>
      </c>
      <c r="D324" s="188">
        <v>33961</v>
      </c>
      <c r="E324" s="23" t="s">
        <v>1576</v>
      </c>
      <c r="F324" s="23" t="s">
        <v>10</v>
      </c>
      <c r="G324" s="188"/>
      <c r="H324" s="176" t="s">
        <v>210</v>
      </c>
      <c r="I324" s="176" t="s">
        <v>211</v>
      </c>
      <c r="J324" s="25">
        <v>5013748373</v>
      </c>
      <c r="K324" s="188">
        <v>33961</v>
      </c>
      <c r="L324" s="23" t="s">
        <v>1576</v>
      </c>
      <c r="M324" s="23" t="s">
        <v>10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</row>
    <row r="325" spans="1:31" x14ac:dyDescent="0.3">
      <c r="A325" s="176" t="s">
        <v>745</v>
      </c>
      <c r="B325" s="176" t="s">
        <v>304</v>
      </c>
      <c r="C325" s="25">
        <v>3056345909</v>
      </c>
      <c r="D325" s="188">
        <v>28848</v>
      </c>
      <c r="E325" s="23" t="s">
        <v>1577</v>
      </c>
      <c r="F325" s="23" t="s">
        <v>6</v>
      </c>
      <c r="G325" s="188"/>
      <c r="H325" s="176" t="s">
        <v>745</v>
      </c>
      <c r="I325" s="176" t="s">
        <v>304</v>
      </c>
      <c r="J325" s="25">
        <v>3056345909</v>
      </c>
      <c r="K325" s="188">
        <v>28848</v>
      </c>
      <c r="L325" s="23" t="s">
        <v>1577</v>
      </c>
      <c r="M325" s="23" t="s">
        <v>6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</row>
    <row r="326" spans="1:31" x14ac:dyDescent="0.3">
      <c r="A326" s="176" t="s">
        <v>746</v>
      </c>
      <c r="B326" s="176" t="s">
        <v>747</v>
      </c>
      <c r="C326" s="25">
        <v>6177446192</v>
      </c>
      <c r="D326" s="188">
        <v>30631</v>
      </c>
      <c r="E326" s="23" t="s">
        <v>1578</v>
      </c>
      <c r="F326" s="23" t="s">
        <v>10</v>
      </c>
      <c r="G326" s="188"/>
      <c r="H326" s="176" t="s">
        <v>746</v>
      </c>
      <c r="I326" s="176" t="s">
        <v>747</v>
      </c>
      <c r="J326" s="25">
        <v>6177446192</v>
      </c>
      <c r="K326" s="188">
        <v>30631</v>
      </c>
      <c r="L326" s="23" t="s">
        <v>1578</v>
      </c>
      <c r="M326" s="23" t="s">
        <v>10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</row>
    <row r="327" spans="1:31" x14ac:dyDescent="0.3">
      <c r="A327" s="176" t="s">
        <v>237</v>
      </c>
      <c r="B327" s="176" t="s">
        <v>238</v>
      </c>
      <c r="C327" s="25">
        <v>9114627771</v>
      </c>
      <c r="D327" s="188">
        <v>28311</v>
      </c>
      <c r="E327" s="23" t="s">
        <v>1570</v>
      </c>
      <c r="F327" s="23" t="s">
        <v>6</v>
      </c>
      <c r="G327" s="188"/>
      <c r="H327" s="176" t="s">
        <v>237</v>
      </c>
      <c r="I327" s="176" t="s">
        <v>238</v>
      </c>
      <c r="J327" s="25">
        <v>9114627771</v>
      </c>
      <c r="K327" s="188">
        <v>28311</v>
      </c>
      <c r="L327" s="23" t="s">
        <v>1570</v>
      </c>
      <c r="M327" s="23" t="s">
        <v>6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</row>
    <row r="328" spans="1:31" x14ac:dyDescent="0.3">
      <c r="A328" s="176" t="s">
        <v>748</v>
      </c>
      <c r="B328" s="176" t="s">
        <v>749</v>
      </c>
      <c r="C328" s="25">
        <v>7088252392</v>
      </c>
      <c r="D328" s="188">
        <v>29702</v>
      </c>
      <c r="E328" s="23" t="s">
        <v>1579</v>
      </c>
      <c r="F328" s="23" t="s">
        <v>18</v>
      </c>
      <c r="G328" s="188"/>
      <c r="H328" s="176" t="s">
        <v>748</v>
      </c>
      <c r="I328" s="176" t="s">
        <v>749</v>
      </c>
      <c r="J328" s="25">
        <v>7088252392</v>
      </c>
      <c r="K328" s="188">
        <v>29702</v>
      </c>
      <c r="L328" s="23" t="s">
        <v>1579</v>
      </c>
      <c r="M328" s="23" t="s">
        <v>18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</row>
    <row r="329" spans="1:31" x14ac:dyDescent="0.3">
      <c r="A329" s="176" t="s">
        <v>750</v>
      </c>
      <c r="B329" s="176" t="s">
        <v>751</v>
      </c>
      <c r="C329" s="25">
        <v>3155915044</v>
      </c>
      <c r="D329" s="188">
        <v>32694</v>
      </c>
      <c r="E329" s="23" t="s">
        <v>1580</v>
      </c>
      <c r="F329" s="23" t="s">
        <v>10</v>
      </c>
      <c r="G329" s="188"/>
      <c r="H329" s="176" t="s">
        <v>750</v>
      </c>
      <c r="I329" s="176" t="s">
        <v>751</v>
      </c>
      <c r="J329" s="25">
        <v>3155915044</v>
      </c>
      <c r="K329" s="188">
        <v>32694</v>
      </c>
      <c r="L329" s="23" t="s">
        <v>1580</v>
      </c>
      <c r="M329" s="23" t="s">
        <v>10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</row>
    <row r="330" spans="1:31" x14ac:dyDescent="0.3">
      <c r="A330" s="176" t="s">
        <v>752</v>
      </c>
      <c r="B330" s="176" t="s">
        <v>753</v>
      </c>
      <c r="C330" s="25">
        <v>7128624601</v>
      </c>
      <c r="D330" s="188">
        <v>27859</v>
      </c>
      <c r="E330" s="23" t="s">
        <v>1581</v>
      </c>
      <c r="F330" s="23" t="s">
        <v>10</v>
      </c>
      <c r="G330" s="188"/>
      <c r="H330" s="176" t="s">
        <v>752</v>
      </c>
      <c r="I330" s="176" t="s">
        <v>753</v>
      </c>
      <c r="J330" s="25">
        <v>7128624601</v>
      </c>
      <c r="K330" s="188">
        <v>27859</v>
      </c>
      <c r="L330" s="23" t="s">
        <v>1581</v>
      </c>
      <c r="M330" s="23" t="s">
        <v>10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</row>
    <row r="331" spans="1:31" x14ac:dyDescent="0.3">
      <c r="A331" s="176" t="s">
        <v>754</v>
      </c>
      <c r="B331" s="176" t="s">
        <v>755</v>
      </c>
      <c r="C331" s="25">
        <v>7037126482</v>
      </c>
      <c r="D331" s="188">
        <v>27858</v>
      </c>
      <c r="E331" s="23" t="s">
        <v>1582</v>
      </c>
      <c r="F331" s="23" t="s">
        <v>10</v>
      </c>
      <c r="G331" s="188"/>
      <c r="H331" s="176" t="s">
        <v>754</v>
      </c>
      <c r="I331" s="176" t="s">
        <v>755</v>
      </c>
      <c r="J331" s="25">
        <v>7037126482</v>
      </c>
      <c r="K331" s="188">
        <v>27858</v>
      </c>
      <c r="L331" s="23" t="s">
        <v>1582</v>
      </c>
      <c r="M331" s="23" t="s">
        <v>10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</row>
    <row r="332" spans="1:31" x14ac:dyDescent="0.3">
      <c r="A332" s="176" t="s">
        <v>756</v>
      </c>
      <c r="B332" s="176" t="s">
        <v>757</v>
      </c>
      <c r="C332" s="25">
        <v>4084663056</v>
      </c>
      <c r="D332" s="188">
        <v>35747</v>
      </c>
      <c r="E332" s="23" t="s">
        <v>1583</v>
      </c>
      <c r="F332" s="23" t="s">
        <v>10</v>
      </c>
      <c r="G332" s="188"/>
      <c r="H332" s="176" t="s">
        <v>756</v>
      </c>
      <c r="I332" s="176" t="s">
        <v>757</v>
      </c>
      <c r="J332" s="25">
        <v>4084663056</v>
      </c>
      <c r="K332" s="188">
        <v>35747</v>
      </c>
      <c r="L332" s="23" t="s">
        <v>1583</v>
      </c>
      <c r="M332" s="23" t="s">
        <v>10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</row>
    <row r="333" spans="1:31" x14ac:dyDescent="0.3">
      <c r="A333" s="176" t="s">
        <v>758</v>
      </c>
      <c r="B333" s="176" t="s">
        <v>275</v>
      </c>
      <c r="C333" s="25">
        <v>4022917217</v>
      </c>
      <c r="D333" s="188">
        <v>29671</v>
      </c>
      <c r="E333" s="23" t="s">
        <v>1584</v>
      </c>
      <c r="F333" s="23" t="s">
        <v>10</v>
      </c>
      <c r="G333" s="188"/>
      <c r="H333" s="176" t="s">
        <v>758</v>
      </c>
      <c r="I333" s="176" t="s">
        <v>275</v>
      </c>
      <c r="J333" s="25">
        <v>4022917217</v>
      </c>
      <c r="K333" s="188">
        <v>29671</v>
      </c>
      <c r="L333" s="23" t="s">
        <v>1584</v>
      </c>
      <c r="M333" s="23" t="s">
        <v>10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</row>
    <row r="334" spans="1:31" x14ac:dyDescent="0.3">
      <c r="A334" s="176" t="s">
        <v>759</v>
      </c>
      <c r="B334" s="176" t="s">
        <v>760</v>
      </c>
      <c r="C334" s="25">
        <v>4172511732</v>
      </c>
      <c r="D334" s="188">
        <v>35708</v>
      </c>
      <c r="E334" s="23" t="s">
        <v>1585</v>
      </c>
      <c r="F334" s="23" t="s">
        <v>10</v>
      </c>
      <c r="G334" s="188"/>
      <c r="H334" s="176" t="s">
        <v>759</v>
      </c>
      <c r="I334" s="176" t="s">
        <v>760</v>
      </c>
      <c r="J334" s="25">
        <v>4172511732</v>
      </c>
      <c r="K334" s="188">
        <v>35708</v>
      </c>
      <c r="L334" s="23" t="s">
        <v>1585</v>
      </c>
      <c r="M334" s="23" t="s">
        <v>10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</row>
    <row r="335" spans="1:31" x14ac:dyDescent="0.3">
      <c r="A335" s="176" t="s">
        <v>761</v>
      </c>
      <c r="B335" s="176" t="s">
        <v>271</v>
      </c>
      <c r="C335" s="25">
        <v>2186865606</v>
      </c>
      <c r="D335" s="188">
        <v>28497</v>
      </c>
      <c r="E335" s="23" t="s">
        <v>1586</v>
      </c>
      <c r="F335" s="23" t="s">
        <v>18</v>
      </c>
      <c r="G335" s="188"/>
      <c r="H335" s="176" t="s">
        <v>761</v>
      </c>
      <c r="I335" s="176" t="s">
        <v>271</v>
      </c>
      <c r="J335" s="25">
        <v>2186865606</v>
      </c>
      <c r="K335" s="188">
        <v>28497</v>
      </c>
      <c r="L335" s="23" t="s">
        <v>1586</v>
      </c>
      <c r="M335" s="23" t="s">
        <v>18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</row>
    <row r="336" spans="1:31" x14ac:dyDescent="0.3">
      <c r="A336" s="176" t="s">
        <v>762</v>
      </c>
      <c r="B336" s="176" t="s">
        <v>468</v>
      </c>
      <c r="C336" s="25">
        <v>9146052545</v>
      </c>
      <c r="D336" s="188">
        <v>29369</v>
      </c>
      <c r="E336" s="23" t="s">
        <v>1587</v>
      </c>
      <c r="F336" s="23" t="s">
        <v>18</v>
      </c>
      <c r="G336" s="188"/>
      <c r="H336" s="176" t="s">
        <v>762</v>
      </c>
      <c r="I336" s="176" t="s">
        <v>468</v>
      </c>
      <c r="J336" s="25">
        <v>9146052545</v>
      </c>
      <c r="K336" s="188">
        <v>29369</v>
      </c>
      <c r="L336" s="23" t="s">
        <v>1587</v>
      </c>
      <c r="M336" s="23" t="s">
        <v>18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</row>
    <row r="337" spans="1:31" x14ac:dyDescent="0.3">
      <c r="A337" s="176" t="s">
        <v>763</v>
      </c>
      <c r="B337" s="176" t="s">
        <v>764</v>
      </c>
      <c r="C337" s="25">
        <v>5126756847</v>
      </c>
      <c r="D337" s="188">
        <v>29787</v>
      </c>
      <c r="E337" s="23" t="s">
        <v>1588</v>
      </c>
      <c r="F337" s="23" t="s">
        <v>10</v>
      </c>
      <c r="G337" s="188"/>
      <c r="H337" s="176" t="s">
        <v>763</v>
      </c>
      <c r="I337" s="176" t="s">
        <v>764</v>
      </c>
      <c r="J337" s="25">
        <v>5126756847</v>
      </c>
      <c r="K337" s="188">
        <v>29787</v>
      </c>
      <c r="L337" s="23" t="s">
        <v>1588</v>
      </c>
      <c r="M337" s="23" t="s">
        <v>10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</row>
    <row r="338" spans="1:31" x14ac:dyDescent="0.3">
      <c r="A338" s="176" t="s">
        <v>765</v>
      </c>
      <c r="B338" s="176" t="s">
        <v>766</v>
      </c>
      <c r="C338" s="25">
        <v>2076798743</v>
      </c>
      <c r="D338" s="188">
        <v>35194</v>
      </c>
      <c r="E338" s="23" t="s">
        <v>1589</v>
      </c>
      <c r="F338" s="23" t="s">
        <v>10</v>
      </c>
      <c r="G338" s="188"/>
      <c r="H338" s="176" t="s">
        <v>765</v>
      </c>
      <c r="I338" s="176" t="s">
        <v>766</v>
      </c>
      <c r="J338" s="25">
        <v>2076798743</v>
      </c>
      <c r="K338" s="188">
        <v>35194</v>
      </c>
      <c r="L338" s="23" t="s">
        <v>1589</v>
      </c>
      <c r="M338" s="23" t="s">
        <v>10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</row>
    <row r="339" spans="1:31" x14ac:dyDescent="0.3">
      <c r="A339" s="176" t="s">
        <v>239</v>
      </c>
      <c r="B339" s="176" t="s">
        <v>240</v>
      </c>
      <c r="C339" s="25">
        <v>3013938131</v>
      </c>
      <c r="D339" s="188">
        <v>28025</v>
      </c>
      <c r="E339" s="23" t="s">
        <v>1590</v>
      </c>
      <c r="F339" s="23" t="s">
        <v>6</v>
      </c>
      <c r="G339" s="188"/>
      <c r="H339" s="176" t="s">
        <v>239</v>
      </c>
      <c r="I339" s="176" t="s">
        <v>240</v>
      </c>
      <c r="J339" s="25">
        <v>3013938131</v>
      </c>
      <c r="K339" s="188">
        <v>28025</v>
      </c>
      <c r="L339" s="23" t="s">
        <v>1590</v>
      </c>
      <c r="M339" s="23" t="s">
        <v>6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</row>
    <row r="340" spans="1:31" x14ac:dyDescent="0.3">
      <c r="A340" s="176" t="s">
        <v>767</v>
      </c>
      <c r="B340" s="176" t="s">
        <v>768</v>
      </c>
      <c r="C340" s="25">
        <v>9044877123</v>
      </c>
      <c r="D340" s="188">
        <v>27920</v>
      </c>
      <c r="E340" s="23" t="s">
        <v>1591</v>
      </c>
      <c r="F340" s="23" t="s">
        <v>6</v>
      </c>
      <c r="G340" s="188"/>
      <c r="H340" s="176" t="s">
        <v>767</v>
      </c>
      <c r="I340" s="176" t="s">
        <v>768</v>
      </c>
      <c r="J340" s="25">
        <v>9044877123</v>
      </c>
      <c r="K340" s="188">
        <v>27920</v>
      </c>
      <c r="L340" s="23" t="s">
        <v>1591</v>
      </c>
      <c r="M340" s="23" t="s">
        <v>6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</row>
    <row r="341" spans="1:31" x14ac:dyDescent="0.3">
      <c r="A341" s="176" t="s">
        <v>769</v>
      </c>
      <c r="B341" s="176" t="s">
        <v>310</v>
      </c>
      <c r="C341" s="25">
        <v>9013788281</v>
      </c>
      <c r="D341" s="188">
        <v>28613</v>
      </c>
      <c r="E341" s="23" t="s">
        <v>1592</v>
      </c>
      <c r="F341" s="23" t="s">
        <v>6</v>
      </c>
      <c r="G341" s="188"/>
      <c r="H341" s="176" t="s">
        <v>769</v>
      </c>
      <c r="I341" s="176" t="s">
        <v>310</v>
      </c>
      <c r="J341" s="25">
        <v>9013788281</v>
      </c>
      <c r="K341" s="188">
        <v>28613</v>
      </c>
      <c r="L341" s="23" t="s">
        <v>1592</v>
      </c>
      <c r="M341" s="23" t="s">
        <v>6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</row>
    <row r="342" spans="1:31" x14ac:dyDescent="0.3">
      <c r="A342" s="176" t="s">
        <v>770</v>
      </c>
      <c r="B342" s="176" t="s">
        <v>771</v>
      </c>
      <c r="C342" s="25">
        <v>3173957018</v>
      </c>
      <c r="D342" s="188">
        <v>28933</v>
      </c>
      <c r="E342" s="23" t="s">
        <v>1593</v>
      </c>
      <c r="F342" s="23" t="s">
        <v>6</v>
      </c>
      <c r="G342" s="188"/>
      <c r="H342" s="176" t="s">
        <v>770</v>
      </c>
      <c r="I342" s="176" t="s">
        <v>771</v>
      </c>
      <c r="J342" s="25">
        <v>3173957018</v>
      </c>
      <c r="K342" s="188">
        <v>28933</v>
      </c>
      <c r="L342" s="23" t="s">
        <v>1593</v>
      </c>
      <c r="M342" s="23" t="s">
        <v>6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</row>
    <row r="343" spans="1:31" x14ac:dyDescent="0.3">
      <c r="A343" s="176" t="s">
        <v>772</v>
      </c>
      <c r="B343" s="176" t="s">
        <v>773</v>
      </c>
      <c r="C343" s="25">
        <v>4173274978</v>
      </c>
      <c r="D343" s="188">
        <v>29787</v>
      </c>
      <c r="E343" s="23" t="s">
        <v>1594</v>
      </c>
      <c r="F343" s="23" t="s">
        <v>18</v>
      </c>
      <c r="G343" s="188"/>
      <c r="H343" s="176" t="s">
        <v>772</v>
      </c>
      <c r="I343" s="176" t="s">
        <v>773</v>
      </c>
      <c r="J343" s="25">
        <v>4173274978</v>
      </c>
      <c r="K343" s="188">
        <v>29787</v>
      </c>
      <c r="L343" s="23" t="s">
        <v>1594</v>
      </c>
      <c r="M343" s="23" t="s">
        <v>18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</row>
    <row r="344" spans="1:31" x14ac:dyDescent="0.3">
      <c r="A344" s="176" t="s">
        <v>774</v>
      </c>
      <c r="B344" s="176" t="s">
        <v>775</v>
      </c>
      <c r="C344" s="25">
        <v>5124138160</v>
      </c>
      <c r="D344" s="188">
        <v>30496</v>
      </c>
      <c r="E344" s="23" t="s">
        <v>1595</v>
      </c>
      <c r="F344" s="23" t="s">
        <v>6</v>
      </c>
      <c r="G344" s="188"/>
      <c r="H344" s="176" t="s">
        <v>774</v>
      </c>
      <c r="I344" s="176" t="s">
        <v>775</v>
      </c>
      <c r="J344" s="25">
        <v>5124138160</v>
      </c>
      <c r="K344" s="188">
        <v>30496</v>
      </c>
      <c r="L344" s="23" t="s">
        <v>1595</v>
      </c>
      <c r="M344" s="23" t="s">
        <v>6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</row>
    <row r="345" spans="1:31" x14ac:dyDescent="0.3">
      <c r="A345" s="176" t="s">
        <v>776</v>
      </c>
      <c r="B345" s="176" t="s">
        <v>292</v>
      </c>
      <c r="C345" s="25">
        <v>3124106437</v>
      </c>
      <c r="D345" s="188">
        <v>34693</v>
      </c>
      <c r="E345" s="23" t="s">
        <v>1596</v>
      </c>
      <c r="F345" s="23" t="s">
        <v>18</v>
      </c>
      <c r="G345" s="188"/>
      <c r="H345" s="176" t="s">
        <v>776</v>
      </c>
      <c r="I345" s="176" t="s">
        <v>292</v>
      </c>
      <c r="J345" s="25">
        <v>3124106437</v>
      </c>
      <c r="K345" s="188">
        <v>34693</v>
      </c>
      <c r="L345" s="23" t="s">
        <v>1596</v>
      </c>
      <c r="M345" s="23" t="s">
        <v>18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</row>
    <row r="346" spans="1:31" x14ac:dyDescent="0.3">
      <c r="A346" s="176" t="s">
        <v>777</v>
      </c>
      <c r="B346" s="176" t="s">
        <v>285</v>
      </c>
      <c r="C346" s="25">
        <v>7168439277</v>
      </c>
      <c r="D346" s="188">
        <v>29899</v>
      </c>
      <c r="E346" s="23" t="s">
        <v>1597</v>
      </c>
      <c r="F346" s="23" t="s">
        <v>10</v>
      </c>
      <c r="G346" s="188"/>
      <c r="H346" s="176" t="s">
        <v>777</v>
      </c>
      <c r="I346" s="176" t="s">
        <v>285</v>
      </c>
      <c r="J346" s="25">
        <v>7168439277</v>
      </c>
      <c r="K346" s="188">
        <v>29899</v>
      </c>
      <c r="L346" s="23" t="s">
        <v>1597</v>
      </c>
      <c r="M346" s="23" t="s">
        <v>10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</row>
    <row r="347" spans="1:31" x14ac:dyDescent="0.3">
      <c r="A347" s="176" t="s">
        <v>778</v>
      </c>
      <c r="B347" s="176" t="s">
        <v>391</v>
      </c>
      <c r="C347" s="25">
        <v>3142939413</v>
      </c>
      <c r="D347" s="188">
        <v>33339</v>
      </c>
      <c r="E347" s="23" t="s">
        <v>1598</v>
      </c>
      <c r="F347" s="23" t="s">
        <v>10</v>
      </c>
      <c r="G347" s="188"/>
      <c r="H347" s="176" t="s">
        <v>778</v>
      </c>
      <c r="I347" s="176" t="s">
        <v>391</v>
      </c>
      <c r="J347" s="25">
        <v>3142939413</v>
      </c>
      <c r="K347" s="188">
        <v>33339</v>
      </c>
      <c r="L347" s="23" t="s">
        <v>1598</v>
      </c>
      <c r="M347" s="23" t="s">
        <v>10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</row>
    <row r="348" spans="1:31" x14ac:dyDescent="0.3">
      <c r="A348" s="176" t="s">
        <v>779</v>
      </c>
      <c r="B348" s="176" t="s">
        <v>641</v>
      </c>
      <c r="C348" s="25">
        <v>3061777060</v>
      </c>
      <c r="D348" s="188">
        <v>34836</v>
      </c>
      <c r="E348" s="23" t="s">
        <v>1599</v>
      </c>
      <c r="F348" s="23" t="s">
        <v>6</v>
      </c>
      <c r="G348" s="188"/>
      <c r="H348" s="176" t="s">
        <v>779</v>
      </c>
      <c r="I348" s="176" t="s">
        <v>641</v>
      </c>
      <c r="J348" s="25">
        <v>3061777060</v>
      </c>
      <c r="K348" s="188">
        <v>34836</v>
      </c>
      <c r="L348" s="23" t="s">
        <v>1599</v>
      </c>
      <c r="M348" s="23" t="s">
        <v>6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</row>
    <row r="349" spans="1:31" x14ac:dyDescent="0.3">
      <c r="A349" s="176" t="s">
        <v>780</v>
      </c>
      <c r="B349" s="176" t="s">
        <v>781</v>
      </c>
      <c r="C349" s="25">
        <v>3022881600</v>
      </c>
      <c r="D349" s="188">
        <v>30039</v>
      </c>
      <c r="E349" s="23" t="s">
        <v>1600</v>
      </c>
      <c r="F349" s="23" t="s">
        <v>33</v>
      </c>
      <c r="G349" s="188"/>
      <c r="H349" s="176" t="s">
        <v>780</v>
      </c>
      <c r="I349" s="176" t="s">
        <v>781</v>
      </c>
      <c r="J349" s="25">
        <v>3022881600</v>
      </c>
      <c r="K349" s="188">
        <v>30039</v>
      </c>
      <c r="L349" s="23" t="s">
        <v>1600</v>
      </c>
      <c r="M349" s="23" t="s">
        <v>33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</row>
    <row r="350" spans="1:31" x14ac:dyDescent="0.3">
      <c r="A350" s="176" t="s">
        <v>782</v>
      </c>
      <c r="B350" s="176" t="s">
        <v>783</v>
      </c>
      <c r="C350" s="25">
        <v>7045317859</v>
      </c>
      <c r="D350" s="188">
        <v>29379</v>
      </c>
      <c r="E350" s="23" t="s">
        <v>1601</v>
      </c>
      <c r="F350" s="23" t="s">
        <v>10</v>
      </c>
      <c r="G350" s="188"/>
      <c r="H350" s="176" t="s">
        <v>782</v>
      </c>
      <c r="I350" s="176" t="s">
        <v>783</v>
      </c>
      <c r="J350" s="25">
        <v>7045317859</v>
      </c>
      <c r="K350" s="188">
        <v>29379</v>
      </c>
      <c r="L350" s="23" t="s">
        <v>1601</v>
      </c>
      <c r="M350" s="23" t="s">
        <v>10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</row>
    <row r="351" spans="1:31" x14ac:dyDescent="0.3">
      <c r="A351" s="176" t="s">
        <v>784</v>
      </c>
      <c r="B351" s="176" t="s">
        <v>785</v>
      </c>
      <c r="C351" s="25">
        <v>5183383207</v>
      </c>
      <c r="D351" s="188">
        <v>35625</v>
      </c>
      <c r="E351" s="23" t="s">
        <v>1602</v>
      </c>
      <c r="F351" s="23" t="s">
        <v>18</v>
      </c>
      <c r="G351" s="188"/>
      <c r="H351" s="176" t="s">
        <v>784</v>
      </c>
      <c r="I351" s="176" t="s">
        <v>785</v>
      </c>
      <c r="J351" s="25">
        <v>5183383207</v>
      </c>
      <c r="K351" s="188">
        <v>35625</v>
      </c>
      <c r="L351" s="23" t="s">
        <v>1602</v>
      </c>
      <c r="M351" s="23" t="s">
        <v>18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</row>
    <row r="352" spans="1:31" x14ac:dyDescent="0.3">
      <c r="A352" s="176" t="s">
        <v>786</v>
      </c>
      <c r="B352" s="176" t="s">
        <v>490</v>
      </c>
      <c r="C352" s="25">
        <v>9163820613</v>
      </c>
      <c r="D352" s="188">
        <v>29487</v>
      </c>
      <c r="E352" s="23" t="s">
        <v>1603</v>
      </c>
      <c r="F352" s="23" t="s">
        <v>6</v>
      </c>
      <c r="G352" s="188"/>
      <c r="H352" s="176" t="s">
        <v>786</v>
      </c>
      <c r="I352" s="176" t="s">
        <v>490</v>
      </c>
      <c r="J352" s="25">
        <v>9163820613</v>
      </c>
      <c r="K352" s="188">
        <v>29487</v>
      </c>
      <c r="L352" s="23" t="s">
        <v>1603</v>
      </c>
      <c r="M352" s="23" t="s">
        <v>6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</row>
    <row r="353" spans="1:31" x14ac:dyDescent="0.3">
      <c r="A353" s="176" t="s">
        <v>787</v>
      </c>
      <c r="B353" s="176" t="s">
        <v>788</v>
      </c>
      <c r="C353" s="25">
        <v>7078449868</v>
      </c>
      <c r="D353" s="188">
        <v>28537</v>
      </c>
      <c r="E353" s="23" t="s">
        <v>1604</v>
      </c>
      <c r="F353" s="23" t="s">
        <v>10</v>
      </c>
      <c r="G353" s="188"/>
      <c r="H353" s="176" t="s">
        <v>787</v>
      </c>
      <c r="I353" s="176" t="s">
        <v>788</v>
      </c>
      <c r="J353" s="25">
        <v>7078449868</v>
      </c>
      <c r="K353" s="188">
        <v>28537</v>
      </c>
      <c r="L353" s="23" t="s">
        <v>1604</v>
      </c>
      <c r="M353" s="23" t="s">
        <v>10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</row>
    <row r="354" spans="1:31" x14ac:dyDescent="0.3">
      <c r="A354" s="176" t="s">
        <v>789</v>
      </c>
      <c r="B354" s="176" t="s">
        <v>790</v>
      </c>
      <c r="C354" s="25">
        <v>9128642893</v>
      </c>
      <c r="D354" s="188">
        <v>30367</v>
      </c>
      <c r="E354" s="23" t="s">
        <v>1605</v>
      </c>
      <c r="F354" s="23" t="s">
        <v>10</v>
      </c>
      <c r="G354" s="188"/>
      <c r="H354" s="176" t="s">
        <v>789</v>
      </c>
      <c r="I354" s="176" t="s">
        <v>790</v>
      </c>
      <c r="J354" s="25">
        <v>9128642893</v>
      </c>
      <c r="K354" s="188">
        <v>30367</v>
      </c>
      <c r="L354" s="23" t="s">
        <v>1605</v>
      </c>
      <c r="M354" s="23" t="s">
        <v>10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</row>
    <row r="355" spans="1:31" x14ac:dyDescent="0.3">
      <c r="A355" s="176" t="s">
        <v>791</v>
      </c>
      <c r="B355" s="176" t="s">
        <v>275</v>
      </c>
      <c r="C355" s="25">
        <v>6125236892</v>
      </c>
      <c r="D355" s="188">
        <v>31933</v>
      </c>
      <c r="E355" s="23" t="s">
        <v>1606</v>
      </c>
      <c r="F355" s="23" t="s">
        <v>6</v>
      </c>
      <c r="G355" s="188"/>
      <c r="H355" s="176" t="s">
        <v>791</v>
      </c>
      <c r="I355" s="176" t="s">
        <v>275</v>
      </c>
      <c r="J355" s="25">
        <v>6125236892</v>
      </c>
      <c r="K355" s="188">
        <v>31933</v>
      </c>
      <c r="L355" s="23" t="s">
        <v>1606</v>
      </c>
      <c r="M355" s="23" t="s">
        <v>6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</row>
    <row r="356" spans="1:31" x14ac:dyDescent="0.3">
      <c r="A356" s="176" t="s">
        <v>792</v>
      </c>
      <c r="B356" s="176" t="s">
        <v>793</v>
      </c>
      <c r="C356" s="25">
        <v>6115043141</v>
      </c>
      <c r="D356" s="188">
        <v>32417</v>
      </c>
      <c r="E356" s="23" t="s">
        <v>1607</v>
      </c>
      <c r="F356" s="23" t="s">
        <v>6</v>
      </c>
      <c r="G356" s="188"/>
      <c r="H356" s="176" t="s">
        <v>792</v>
      </c>
      <c r="I356" s="176" t="s">
        <v>793</v>
      </c>
      <c r="J356" s="25">
        <v>6115043141</v>
      </c>
      <c r="K356" s="188">
        <v>32417</v>
      </c>
      <c r="L356" s="23" t="s">
        <v>1607</v>
      </c>
      <c r="M356" s="23" t="s">
        <v>6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</row>
    <row r="357" spans="1:31" x14ac:dyDescent="0.3">
      <c r="A357" s="176" t="s">
        <v>794</v>
      </c>
      <c r="B357" s="176" t="s">
        <v>795</v>
      </c>
      <c r="C357" s="25">
        <v>8141603964</v>
      </c>
      <c r="D357" s="188">
        <v>32648</v>
      </c>
      <c r="E357" s="23" t="s">
        <v>1608</v>
      </c>
      <c r="F357" s="23" t="s">
        <v>10</v>
      </c>
      <c r="G357" s="188"/>
      <c r="H357" s="176" t="s">
        <v>794</v>
      </c>
      <c r="I357" s="176" t="s">
        <v>795</v>
      </c>
      <c r="J357" s="25">
        <v>8141603964</v>
      </c>
      <c r="K357" s="188">
        <v>32648</v>
      </c>
      <c r="L357" s="23" t="s">
        <v>1608</v>
      </c>
      <c r="M357" s="23" t="s">
        <v>10</v>
      </c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</row>
    <row r="358" spans="1:31" x14ac:dyDescent="0.3">
      <c r="A358" s="176" t="s">
        <v>796</v>
      </c>
      <c r="B358" s="176" t="s">
        <v>310</v>
      </c>
      <c r="C358" s="25">
        <v>3185604891</v>
      </c>
      <c r="D358" s="188">
        <v>32663</v>
      </c>
      <c r="E358" s="23" t="s">
        <v>1609</v>
      </c>
      <c r="F358" s="23" t="s">
        <v>10</v>
      </c>
      <c r="G358" s="188"/>
      <c r="H358" s="176" t="s">
        <v>796</v>
      </c>
      <c r="I358" s="176" t="s">
        <v>310</v>
      </c>
      <c r="J358" s="25">
        <v>3185604891</v>
      </c>
      <c r="K358" s="188">
        <v>32663</v>
      </c>
      <c r="L358" s="23" t="s">
        <v>1609</v>
      </c>
      <c r="M358" s="23" t="s">
        <v>10</v>
      </c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</row>
    <row r="359" spans="1:31" x14ac:dyDescent="0.3">
      <c r="A359" s="176" t="s">
        <v>797</v>
      </c>
      <c r="B359" s="176" t="s">
        <v>577</v>
      </c>
      <c r="C359" s="25">
        <v>8025402828</v>
      </c>
      <c r="D359" s="188">
        <v>32789</v>
      </c>
      <c r="E359" s="23" t="s">
        <v>1610</v>
      </c>
      <c r="F359" s="23" t="s">
        <v>10</v>
      </c>
      <c r="G359" s="188"/>
      <c r="H359" s="176" t="s">
        <v>797</v>
      </c>
      <c r="I359" s="176" t="s">
        <v>577</v>
      </c>
      <c r="J359" s="25">
        <v>8025402828</v>
      </c>
      <c r="K359" s="188">
        <v>32789</v>
      </c>
      <c r="L359" s="23" t="s">
        <v>1610</v>
      </c>
      <c r="M359" s="23" t="s">
        <v>10</v>
      </c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</row>
    <row r="360" spans="1:31" x14ac:dyDescent="0.3">
      <c r="A360" s="176" t="s">
        <v>798</v>
      </c>
      <c r="B360" s="176" t="s">
        <v>732</v>
      </c>
      <c r="C360" s="25">
        <v>7094436681</v>
      </c>
      <c r="D360" s="188">
        <v>30152</v>
      </c>
      <c r="E360" s="23" t="s">
        <v>1611</v>
      </c>
      <c r="F360" s="23" t="s">
        <v>10</v>
      </c>
      <c r="G360" s="188"/>
      <c r="H360" s="176" t="s">
        <v>798</v>
      </c>
      <c r="I360" s="176" t="s">
        <v>732</v>
      </c>
      <c r="J360" s="25">
        <v>7094436681</v>
      </c>
      <c r="K360" s="188">
        <v>30152</v>
      </c>
      <c r="L360" s="23" t="s">
        <v>1611</v>
      </c>
      <c r="M360" s="23" t="s">
        <v>10</v>
      </c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</row>
    <row r="361" spans="1:31" x14ac:dyDescent="0.3">
      <c r="A361" s="176" t="s">
        <v>799</v>
      </c>
      <c r="B361" s="176" t="s">
        <v>800</v>
      </c>
      <c r="C361" s="25">
        <v>3134629972</v>
      </c>
      <c r="D361" s="188">
        <v>33961</v>
      </c>
      <c r="E361" s="23" t="s">
        <v>1612</v>
      </c>
      <c r="F361" s="23" t="s">
        <v>18</v>
      </c>
      <c r="G361" s="188"/>
      <c r="H361" s="176" t="s">
        <v>799</v>
      </c>
      <c r="I361" s="176" t="s">
        <v>800</v>
      </c>
      <c r="J361" s="25">
        <v>3134629972</v>
      </c>
      <c r="K361" s="188">
        <v>33961</v>
      </c>
      <c r="L361" s="23" t="s">
        <v>1612</v>
      </c>
      <c r="M361" s="23" t="s">
        <v>18</v>
      </c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</row>
    <row r="362" spans="1:31" x14ac:dyDescent="0.3">
      <c r="A362" s="176" t="s">
        <v>801</v>
      </c>
      <c r="B362" s="176" t="s">
        <v>802</v>
      </c>
      <c r="C362" s="25">
        <v>9172339143</v>
      </c>
      <c r="D362" s="188">
        <v>28848</v>
      </c>
      <c r="E362" s="23" t="s">
        <v>1613</v>
      </c>
      <c r="F362" s="23" t="s">
        <v>10</v>
      </c>
      <c r="G362" s="188"/>
      <c r="H362" s="176" t="s">
        <v>801</v>
      </c>
      <c r="I362" s="176" t="s">
        <v>802</v>
      </c>
      <c r="J362" s="25">
        <v>9172339143</v>
      </c>
      <c r="K362" s="188">
        <v>28848</v>
      </c>
      <c r="L362" s="23" t="s">
        <v>1613</v>
      </c>
      <c r="M362" s="23" t="s">
        <v>10</v>
      </c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</row>
    <row r="363" spans="1:31" x14ac:dyDescent="0.3">
      <c r="A363" s="176" t="s">
        <v>803</v>
      </c>
      <c r="B363" s="176" t="s">
        <v>804</v>
      </c>
      <c r="C363" s="25">
        <v>6152212512</v>
      </c>
      <c r="D363" s="188">
        <v>30631</v>
      </c>
      <c r="E363" s="23" t="s">
        <v>1614</v>
      </c>
      <c r="F363" s="23" t="s">
        <v>6</v>
      </c>
      <c r="G363" s="188"/>
      <c r="H363" s="176" t="s">
        <v>803</v>
      </c>
      <c r="I363" s="176" t="s">
        <v>804</v>
      </c>
      <c r="J363" s="25">
        <v>6152212512</v>
      </c>
      <c r="K363" s="188">
        <v>30631</v>
      </c>
      <c r="L363" s="23" t="s">
        <v>1614</v>
      </c>
      <c r="M363" s="23" t="s">
        <v>6</v>
      </c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</row>
    <row r="364" spans="1:31" x14ac:dyDescent="0.3">
      <c r="A364" s="176" t="s">
        <v>805</v>
      </c>
      <c r="B364" s="176" t="s">
        <v>783</v>
      </c>
      <c r="C364" s="25">
        <v>3088213594</v>
      </c>
      <c r="D364" s="188">
        <v>28311</v>
      </c>
      <c r="E364" s="23" t="s">
        <v>1615</v>
      </c>
      <c r="F364" s="23" t="s">
        <v>18</v>
      </c>
      <c r="G364" s="188"/>
      <c r="H364" s="176" t="s">
        <v>805</v>
      </c>
      <c r="I364" s="176" t="s">
        <v>783</v>
      </c>
      <c r="J364" s="25">
        <v>3088213594</v>
      </c>
      <c r="K364" s="188">
        <v>28311</v>
      </c>
      <c r="L364" s="23" t="s">
        <v>1615</v>
      </c>
      <c r="M364" s="23" t="s">
        <v>18</v>
      </c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</row>
    <row r="365" spans="1:31" x14ac:dyDescent="0.3">
      <c r="A365" s="176" t="s">
        <v>806</v>
      </c>
      <c r="B365" s="176" t="s">
        <v>310</v>
      </c>
      <c r="C365" s="25">
        <v>4056252690</v>
      </c>
      <c r="D365" s="188">
        <v>29702</v>
      </c>
      <c r="E365" s="23" t="s">
        <v>1616</v>
      </c>
      <c r="F365" s="23" t="s">
        <v>33</v>
      </c>
      <c r="G365" s="188"/>
      <c r="H365" s="176" t="s">
        <v>806</v>
      </c>
      <c r="I365" s="176" t="s">
        <v>310</v>
      </c>
      <c r="J365" s="25">
        <v>4056252690</v>
      </c>
      <c r="K365" s="188">
        <v>29702</v>
      </c>
      <c r="L365" s="23" t="s">
        <v>1616</v>
      </c>
      <c r="M365" s="23" t="s">
        <v>33</v>
      </c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</row>
    <row r="366" spans="1:31" x14ac:dyDescent="0.3">
      <c r="A366" s="176" t="s">
        <v>807</v>
      </c>
      <c r="B366" s="176" t="s">
        <v>808</v>
      </c>
      <c r="C366" s="25">
        <v>4136822349</v>
      </c>
      <c r="D366" s="188">
        <v>32694</v>
      </c>
      <c r="E366" s="23" t="s">
        <v>1617</v>
      </c>
      <c r="F366" s="23" t="s">
        <v>33</v>
      </c>
      <c r="G366" s="188"/>
      <c r="H366" s="176" t="s">
        <v>807</v>
      </c>
      <c r="I366" s="176" t="s">
        <v>808</v>
      </c>
      <c r="J366" s="25">
        <v>4136822349</v>
      </c>
      <c r="K366" s="188">
        <v>32694</v>
      </c>
      <c r="L366" s="23" t="s">
        <v>1617</v>
      </c>
      <c r="M366" s="23" t="s">
        <v>33</v>
      </c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</row>
    <row r="367" spans="1:31" x14ac:dyDescent="0.3">
      <c r="A367" s="176" t="s">
        <v>809</v>
      </c>
      <c r="B367" s="176" t="s">
        <v>684</v>
      </c>
      <c r="C367" s="25">
        <v>5013883356</v>
      </c>
      <c r="D367" s="188">
        <v>27859</v>
      </c>
      <c r="E367" s="23" t="s">
        <v>1618</v>
      </c>
      <c r="F367" s="23" t="s">
        <v>33</v>
      </c>
      <c r="G367" s="188"/>
      <c r="H367" s="176" t="s">
        <v>809</v>
      </c>
      <c r="I367" s="176" t="s">
        <v>684</v>
      </c>
      <c r="J367" s="25">
        <v>5013883356</v>
      </c>
      <c r="K367" s="188">
        <v>27859</v>
      </c>
      <c r="L367" s="23" t="s">
        <v>1618</v>
      </c>
      <c r="M367" s="23" t="s">
        <v>33</v>
      </c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</row>
    <row r="368" spans="1:31" x14ac:dyDescent="0.3">
      <c r="A368" s="176" t="s">
        <v>810</v>
      </c>
      <c r="B368" s="176" t="s">
        <v>509</v>
      </c>
      <c r="C368" s="25">
        <v>7148244224</v>
      </c>
      <c r="D368" s="188">
        <v>27858</v>
      </c>
      <c r="E368" s="23" t="s">
        <v>1619</v>
      </c>
      <c r="F368" s="23" t="s">
        <v>6</v>
      </c>
      <c r="G368" s="188"/>
      <c r="H368" s="176" t="s">
        <v>810</v>
      </c>
      <c r="I368" s="176" t="s">
        <v>509</v>
      </c>
      <c r="J368" s="25">
        <v>7148244224</v>
      </c>
      <c r="K368" s="188">
        <v>27858</v>
      </c>
      <c r="L368" s="23" t="s">
        <v>1619</v>
      </c>
      <c r="M368" s="23" t="s">
        <v>6</v>
      </c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</row>
    <row r="369" spans="1:31" x14ac:dyDescent="0.3">
      <c r="A369" s="176" t="s">
        <v>811</v>
      </c>
      <c r="B369" s="176" t="s">
        <v>812</v>
      </c>
      <c r="C369" s="25">
        <v>5194323329</v>
      </c>
      <c r="D369" s="188">
        <v>35747</v>
      </c>
      <c r="E369" s="23" t="s">
        <v>1620</v>
      </c>
      <c r="F369" s="23" t="s">
        <v>18</v>
      </c>
      <c r="G369" s="188"/>
      <c r="H369" s="176" t="s">
        <v>811</v>
      </c>
      <c r="I369" s="176" t="s">
        <v>812</v>
      </c>
      <c r="J369" s="25">
        <v>5194323329</v>
      </c>
      <c r="K369" s="188">
        <v>35747</v>
      </c>
      <c r="L369" s="23" t="s">
        <v>1620</v>
      </c>
      <c r="M369" s="23" t="s">
        <v>18</v>
      </c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</row>
    <row r="370" spans="1:31" x14ac:dyDescent="0.3">
      <c r="A370" s="176" t="s">
        <v>813</v>
      </c>
      <c r="B370" s="176" t="s">
        <v>395</v>
      </c>
      <c r="C370" s="25">
        <v>6182390604</v>
      </c>
      <c r="D370" s="188">
        <v>29671</v>
      </c>
      <c r="E370" s="23" t="s">
        <v>1621</v>
      </c>
      <c r="F370" s="23" t="s">
        <v>10</v>
      </c>
      <c r="G370" s="188"/>
      <c r="H370" s="176" t="s">
        <v>813</v>
      </c>
      <c r="I370" s="176" t="s">
        <v>395</v>
      </c>
      <c r="J370" s="25">
        <v>6182390604</v>
      </c>
      <c r="K370" s="188">
        <v>29671</v>
      </c>
      <c r="L370" s="23" t="s">
        <v>1621</v>
      </c>
      <c r="M370" s="23" t="s">
        <v>10</v>
      </c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</row>
    <row r="371" spans="1:31" x14ac:dyDescent="0.3">
      <c r="A371" s="176" t="s">
        <v>814</v>
      </c>
      <c r="B371" s="176" t="s">
        <v>690</v>
      </c>
      <c r="C371" s="25">
        <v>5152400511</v>
      </c>
      <c r="D371" s="188">
        <v>35708</v>
      </c>
      <c r="E371" s="23" t="s">
        <v>1622</v>
      </c>
      <c r="F371" s="23" t="s">
        <v>6</v>
      </c>
      <c r="G371" s="188"/>
      <c r="H371" s="176" t="s">
        <v>814</v>
      </c>
      <c r="I371" s="176" t="s">
        <v>690</v>
      </c>
      <c r="J371" s="25">
        <v>5152400511</v>
      </c>
      <c r="K371" s="188">
        <v>35708</v>
      </c>
      <c r="L371" s="23" t="s">
        <v>1622</v>
      </c>
      <c r="M371" s="23" t="s">
        <v>6</v>
      </c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</row>
    <row r="372" spans="1:31" x14ac:dyDescent="0.3">
      <c r="A372" s="176" t="s">
        <v>815</v>
      </c>
      <c r="B372" s="176" t="s">
        <v>816</v>
      </c>
      <c r="C372" s="25">
        <v>7064605984</v>
      </c>
      <c r="D372" s="188">
        <v>28497</v>
      </c>
      <c r="E372" s="23" t="s">
        <v>1623</v>
      </c>
      <c r="F372" s="23" t="s">
        <v>6</v>
      </c>
      <c r="G372" s="188"/>
      <c r="H372" s="176" t="s">
        <v>815</v>
      </c>
      <c r="I372" s="176" t="s">
        <v>816</v>
      </c>
      <c r="J372" s="25">
        <v>7064605984</v>
      </c>
      <c r="K372" s="188">
        <v>28497</v>
      </c>
      <c r="L372" s="23" t="s">
        <v>1623</v>
      </c>
      <c r="M372" s="23" t="s">
        <v>6</v>
      </c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</row>
    <row r="373" spans="1:31" x14ac:dyDescent="0.3">
      <c r="A373" s="176" t="s">
        <v>817</v>
      </c>
      <c r="B373" s="176" t="s">
        <v>310</v>
      </c>
      <c r="C373" s="25">
        <v>3042715355</v>
      </c>
      <c r="D373" s="188">
        <v>29369</v>
      </c>
      <c r="E373" s="23" t="s">
        <v>1624</v>
      </c>
      <c r="F373" s="23" t="s">
        <v>10</v>
      </c>
      <c r="G373" s="188"/>
      <c r="H373" s="176" t="s">
        <v>817</v>
      </c>
      <c r="I373" s="176" t="s">
        <v>310</v>
      </c>
      <c r="J373" s="25">
        <v>3042715355</v>
      </c>
      <c r="K373" s="188">
        <v>29369</v>
      </c>
      <c r="L373" s="23" t="s">
        <v>1624</v>
      </c>
      <c r="M373" s="23" t="s">
        <v>10</v>
      </c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</row>
    <row r="374" spans="1:31" x14ac:dyDescent="0.3">
      <c r="A374" s="176" t="s">
        <v>818</v>
      </c>
      <c r="B374" s="176" t="s">
        <v>819</v>
      </c>
      <c r="C374" s="25">
        <v>6048986390</v>
      </c>
      <c r="D374" s="188">
        <v>29787</v>
      </c>
      <c r="E374" s="23" t="s">
        <v>1292</v>
      </c>
      <c r="F374" s="23" t="s">
        <v>10</v>
      </c>
      <c r="G374" s="188"/>
      <c r="H374" s="176" t="s">
        <v>818</v>
      </c>
      <c r="I374" s="176" t="s">
        <v>819</v>
      </c>
      <c r="J374" s="25">
        <v>6048986390</v>
      </c>
      <c r="K374" s="188">
        <v>29787</v>
      </c>
      <c r="L374" s="23" t="s">
        <v>1292</v>
      </c>
      <c r="M374" s="23" t="s">
        <v>10</v>
      </c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</row>
    <row r="375" spans="1:31" x14ac:dyDescent="0.3">
      <c r="A375" s="176" t="s">
        <v>820</v>
      </c>
      <c r="B375" s="176" t="s">
        <v>304</v>
      </c>
      <c r="C375" s="25">
        <v>5074914916</v>
      </c>
      <c r="D375" s="188">
        <v>35194</v>
      </c>
      <c r="E375" s="23" t="s">
        <v>1625</v>
      </c>
      <c r="F375" s="23" t="s">
        <v>10</v>
      </c>
      <c r="G375" s="188"/>
      <c r="H375" s="176" t="s">
        <v>820</v>
      </c>
      <c r="I375" s="176" t="s">
        <v>304</v>
      </c>
      <c r="J375" s="25">
        <v>5074914916</v>
      </c>
      <c r="K375" s="188">
        <v>35194</v>
      </c>
      <c r="L375" s="23" t="s">
        <v>1625</v>
      </c>
      <c r="M375" s="23" t="s">
        <v>10</v>
      </c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</row>
    <row r="376" spans="1:31" x14ac:dyDescent="0.3">
      <c r="A376" s="176" t="s">
        <v>821</v>
      </c>
      <c r="B376" s="176" t="s">
        <v>646</v>
      </c>
      <c r="C376" s="25">
        <v>9035506190</v>
      </c>
      <c r="D376" s="188">
        <v>28025</v>
      </c>
      <c r="E376" s="23" t="s">
        <v>1626</v>
      </c>
      <c r="F376" s="23" t="s">
        <v>6</v>
      </c>
      <c r="G376" s="188"/>
      <c r="H376" s="176" t="s">
        <v>821</v>
      </c>
      <c r="I376" s="176" t="s">
        <v>646</v>
      </c>
      <c r="J376" s="25">
        <v>9035506190</v>
      </c>
      <c r="K376" s="188">
        <v>28025</v>
      </c>
      <c r="L376" s="23" t="s">
        <v>1626</v>
      </c>
      <c r="M376" s="23" t="s">
        <v>6</v>
      </c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</row>
    <row r="377" spans="1:31" x14ac:dyDescent="0.3">
      <c r="A377" s="176" t="s">
        <v>822</v>
      </c>
      <c r="B377" s="176" t="s">
        <v>823</v>
      </c>
      <c r="C377" s="25">
        <v>8077713771</v>
      </c>
      <c r="D377" s="188">
        <v>27920</v>
      </c>
      <c r="E377" s="23" t="s">
        <v>1627</v>
      </c>
      <c r="F377" s="23" t="s">
        <v>18</v>
      </c>
      <c r="G377" s="188"/>
      <c r="H377" s="176" t="s">
        <v>822</v>
      </c>
      <c r="I377" s="176" t="s">
        <v>823</v>
      </c>
      <c r="J377" s="25">
        <v>8077713771</v>
      </c>
      <c r="K377" s="188">
        <v>27920</v>
      </c>
      <c r="L377" s="23" t="s">
        <v>1627</v>
      </c>
      <c r="M377" s="23" t="s">
        <v>18</v>
      </c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</row>
    <row r="378" spans="1:31" x14ac:dyDescent="0.3">
      <c r="A378" s="176" t="s">
        <v>824</v>
      </c>
      <c r="B378" s="176" t="s">
        <v>580</v>
      </c>
      <c r="C378" s="25">
        <v>2054694995</v>
      </c>
      <c r="D378" s="188">
        <v>28613</v>
      </c>
      <c r="E378" s="23" t="s">
        <v>1628</v>
      </c>
      <c r="F378" s="23" t="s">
        <v>10</v>
      </c>
      <c r="G378" s="188"/>
      <c r="H378" s="176" t="s">
        <v>824</v>
      </c>
      <c r="I378" s="176" t="s">
        <v>580</v>
      </c>
      <c r="J378" s="25">
        <v>2054694995</v>
      </c>
      <c r="K378" s="188">
        <v>28613</v>
      </c>
      <c r="L378" s="23" t="s">
        <v>1628</v>
      </c>
      <c r="M378" s="23" t="s">
        <v>10</v>
      </c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</row>
    <row r="379" spans="1:31" x14ac:dyDescent="0.3">
      <c r="A379" s="176" t="s">
        <v>825</v>
      </c>
      <c r="B379" s="176" t="s">
        <v>346</v>
      </c>
      <c r="C379" s="25">
        <v>3137909707</v>
      </c>
      <c r="D379" s="188">
        <v>28933</v>
      </c>
      <c r="E379" s="23" t="s">
        <v>1629</v>
      </c>
      <c r="F379" s="23" t="s">
        <v>10</v>
      </c>
      <c r="G379" s="188"/>
      <c r="H379" s="176" t="s">
        <v>825</v>
      </c>
      <c r="I379" s="176" t="s">
        <v>346</v>
      </c>
      <c r="J379" s="25">
        <v>3137909707</v>
      </c>
      <c r="K379" s="188">
        <v>28933</v>
      </c>
      <c r="L379" s="23" t="s">
        <v>1629</v>
      </c>
      <c r="M379" s="23" t="s">
        <v>10</v>
      </c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</row>
    <row r="380" spans="1:31" x14ac:dyDescent="0.3">
      <c r="A380" s="176" t="s">
        <v>826</v>
      </c>
      <c r="B380" s="176" t="s">
        <v>535</v>
      </c>
      <c r="C380" s="25">
        <v>7135918708</v>
      </c>
      <c r="D380" s="188">
        <v>29787</v>
      </c>
      <c r="E380" s="23" t="s">
        <v>1630</v>
      </c>
      <c r="F380" s="23" t="s">
        <v>10</v>
      </c>
      <c r="G380" s="188"/>
      <c r="H380" s="176" t="s">
        <v>826</v>
      </c>
      <c r="I380" s="176" t="s">
        <v>535</v>
      </c>
      <c r="J380" s="25">
        <v>7135918708</v>
      </c>
      <c r="K380" s="188">
        <v>29787</v>
      </c>
      <c r="L380" s="23" t="s">
        <v>1630</v>
      </c>
      <c r="M380" s="23" t="s">
        <v>10</v>
      </c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</row>
    <row r="381" spans="1:31" x14ac:dyDescent="0.3">
      <c r="A381" s="176" t="s">
        <v>827</v>
      </c>
      <c r="B381" s="176" t="s">
        <v>447</v>
      </c>
      <c r="C381" s="25">
        <v>3087710498</v>
      </c>
      <c r="D381" s="188">
        <v>30496</v>
      </c>
      <c r="E381" s="23" t="s">
        <v>1631</v>
      </c>
      <c r="F381" s="23" t="s">
        <v>10</v>
      </c>
      <c r="G381" s="188"/>
      <c r="H381" s="176" t="s">
        <v>827</v>
      </c>
      <c r="I381" s="176" t="s">
        <v>447</v>
      </c>
      <c r="J381" s="25">
        <v>3087710498</v>
      </c>
      <c r="K381" s="188">
        <v>30496</v>
      </c>
      <c r="L381" s="23" t="s">
        <v>1631</v>
      </c>
      <c r="M381" s="23" t="s">
        <v>10</v>
      </c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</row>
    <row r="382" spans="1:31" x14ac:dyDescent="0.3">
      <c r="A382" s="176" t="s">
        <v>828</v>
      </c>
      <c r="B382" s="176" t="s">
        <v>829</v>
      </c>
      <c r="C382" s="25">
        <v>3054919822</v>
      </c>
      <c r="D382" s="188">
        <v>34693</v>
      </c>
      <c r="E382" s="23" t="s">
        <v>1632</v>
      </c>
      <c r="F382" s="23" t="s">
        <v>18</v>
      </c>
      <c r="G382" s="188"/>
      <c r="H382" s="176" t="s">
        <v>828</v>
      </c>
      <c r="I382" s="176" t="s">
        <v>829</v>
      </c>
      <c r="J382" s="25">
        <v>3054919822</v>
      </c>
      <c r="K382" s="188">
        <v>34693</v>
      </c>
      <c r="L382" s="23" t="s">
        <v>1632</v>
      </c>
      <c r="M382" s="23" t="s">
        <v>18</v>
      </c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</row>
    <row r="383" spans="1:31" x14ac:dyDescent="0.3">
      <c r="A383" s="176" t="s">
        <v>830</v>
      </c>
      <c r="B383" s="176" t="s">
        <v>408</v>
      </c>
      <c r="C383" s="25">
        <v>8086530760</v>
      </c>
      <c r="D383" s="188">
        <v>29899</v>
      </c>
      <c r="E383" s="23" t="s">
        <v>1633</v>
      </c>
      <c r="F383" s="23" t="s">
        <v>10</v>
      </c>
      <c r="G383" s="188"/>
      <c r="H383" s="176" t="s">
        <v>830</v>
      </c>
      <c r="I383" s="176" t="s">
        <v>408</v>
      </c>
      <c r="J383" s="25">
        <v>8086530760</v>
      </c>
      <c r="K383" s="188">
        <v>29899</v>
      </c>
      <c r="L383" s="23" t="s">
        <v>1633</v>
      </c>
      <c r="M383" s="23" t="s">
        <v>10</v>
      </c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</row>
    <row r="384" spans="1:31" x14ac:dyDescent="0.3">
      <c r="A384" s="176" t="s">
        <v>831</v>
      </c>
      <c r="B384" s="176" t="s">
        <v>419</v>
      </c>
      <c r="C384" s="25">
        <v>9146079829</v>
      </c>
      <c r="D384" s="188">
        <v>33339</v>
      </c>
      <c r="E384" s="23" t="s">
        <v>1634</v>
      </c>
      <c r="F384" s="23" t="s">
        <v>33</v>
      </c>
      <c r="G384" s="188"/>
      <c r="H384" s="176" t="s">
        <v>831</v>
      </c>
      <c r="I384" s="176" t="s">
        <v>419</v>
      </c>
      <c r="J384" s="25">
        <v>9146079829</v>
      </c>
      <c r="K384" s="188">
        <v>33339</v>
      </c>
      <c r="L384" s="23" t="s">
        <v>1634</v>
      </c>
      <c r="M384" s="23" t="s">
        <v>33</v>
      </c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</row>
    <row r="385" spans="1:31" x14ac:dyDescent="0.3">
      <c r="A385" s="176" t="s">
        <v>19</v>
      </c>
      <c r="B385" s="176" t="s">
        <v>793</v>
      </c>
      <c r="C385" s="25">
        <v>7021806180</v>
      </c>
      <c r="D385" s="188">
        <v>34836</v>
      </c>
      <c r="E385" s="23" t="s">
        <v>1635</v>
      </c>
      <c r="F385" s="23" t="s">
        <v>10</v>
      </c>
      <c r="G385" s="188"/>
      <c r="H385" s="176" t="s">
        <v>19</v>
      </c>
      <c r="I385" s="176" t="s">
        <v>793</v>
      </c>
      <c r="J385" s="25">
        <v>7021806180</v>
      </c>
      <c r="K385" s="188">
        <v>34836</v>
      </c>
      <c r="L385" s="23" t="s">
        <v>1635</v>
      </c>
      <c r="M385" s="23" t="s">
        <v>10</v>
      </c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</row>
    <row r="386" spans="1:31" x14ac:dyDescent="0.3">
      <c r="A386" s="176" t="s">
        <v>832</v>
      </c>
      <c r="B386" s="176" t="s">
        <v>393</v>
      </c>
      <c r="C386" s="25">
        <v>7032783818</v>
      </c>
      <c r="D386" s="188">
        <v>30039</v>
      </c>
      <c r="E386" s="23" t="s">
        <v>1636</v>
      </c>
      <c r="F386" s="23" t="s">
        <v>6</v>
      </c>
      <c r="G386" s="188"/>
      <c r="H386" s="176" t="s">
        <v>832</v>
      </c>
      <c r="I386" s="176" t="s">
        <v>393</v>
      </c>
      <c r="J386" s="25">
        <v>7032783818</v>
      </c>
      <c r="K386" s="188">
        <v>30039</v>
      </c>
      <c r="L386" s="23" t="s">
        <v>1636</v>
      </c>
      <c r="M386" s="23" t="s">
        <v>6</v>
      </c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</row>
    <row r="387" spans="1:31" x14ac:dyDescent="0.3">
      <c r="A387" s="176" t="s">
        <v>833</v>
      </c>
      <c r="B387" s="176" t="s">
        <v>834</v>
      </c>
      <c r="C387" s="25">
        <v>7133542524</v>
      </c>
      <c r="D387" s="188">
        <v>29379</v>
      </c>
      <c r="E387" s="23" t="s">
        <v>1637</v>
      </c>
      <c r="F387" s="23" t="s">
        <v>6</v>
      </c>
      <c r="G387" s="188"/>
      <c r="H387" s="176" t="s">
        <v>833</v>
      </c>
      <c r="I387" s="176" t="s">
        <v>834</v>
      </c>
      <c r="J387" s="25">
        <v>7133542524</v>
      </c>
      <c r="K387" s="188">
        <v>29379</v>
      </c>
      <c r="L387" s="23" t="s">
        <v>1637</v>
      </c>
      <c r="M387" s="23" t="s">
        <v>6</v>
      </c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</row>
    <row r="388" spans="1:31" x14ac:dyDescent="0.3">
      <c r="A388" s="176" t="s">
        <v>835</v>
      </c>
      <c r="B388" s="176" t="s">
        <v>836</v>
      </c>
      <c r="C388" s="25">
        <v>4038999194</v>
      </c>
      <c r="D388" s="188">
        <v>35625</v>
      </c>
      <c r="E388" s="23" t="s">
        <v>1638</v>
      </c>
      <c r="F388" s="23" t="s">
        <v>10</v>
      </c>
      <c r="G388" s="188"/>
      <c r="H388" s="176" t="s">
        <v>835</v>
      </c>
      <c r="I388" s="176" t="s">
        <v>836</v>
      </c>
      <c r="J388" s="25">
        <v>4038999194</v>
      </c>
      <c r="K388" s="188">
        <v>35625</v>
      </c>
      <c r="L388" s="23" t="s">
        <v>1638</v>
      </c>
      <c r="M388" s="23" t="s">
        <v>10</v>
      </c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</row>
    <row r="389" spans="1:31" x14ac:dyDescent="0.3">
      <c r="A389" s="176" t="s">
        <v>837</v>
      </c>
      <c r="B389" s="176" t="s">
        <v>838</v>
      </c>
      <c r="C389" s="25">
        <v>4177662359</v>
      </c>
      <c r="D389" s="188">
        <v>29487</v>
      </c>
      <c r="E389" s="23" t="s">
        <v>1639</v>
      </c>
      <c r="F389" s="23" t="s">
        <v>10</v>
      </c>
      <c r="G389" s="188"/>
      <c r="H389" s="176" t="s">
        <v>837</v>
      </c>
      <c r="I389" s="176" t="s">
        <v>838</v>
      </c>
      <c r="J389" s="25">
        <v>4177662359</v>
      </c>
      <c r="K389" s="188">
        <v>29487</v>
      </c>
      <c r="L389" s="23" t="s">
        <v>1639</v>
      </c>
      <c r="M389" s="23" t="s">
        <v>10</v>
      </c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</row>
    <row r="390" spans="1:31" x14ac:dyDescent="0.3">
      <c r="A390" s="176" t="s">
        <v>839</v>
      </c>
      <c r="B390" s="176" t="s">
        <v>840</v>
      </c>
      <c r="C390" s="25">
        <v>9062612740</v>
      </c>
      <c r="D390" s="188">
        <v>28537</v>
      </c>
      <c r="E390" s="23" t="s">
        <v>1640</v>
      </c>
      <c r="F390" s="23" t="s">
        <v>10</v>
      </c>
      <c r="G390" s="188"/>
      <c r="H390" s="176" t="s">
        <v>839</v>
      </c>
      <c r="I390" s="176" t="s">
        <v>840</v>
      </c>
      <c r="J390" s="25">
        <v>9062612740</v>
      </c>
      <c r="K390" s="188">
        <v>28537</v>
      </c>
      <c r="L390" s="23" t="s">
        <v>1640</v>
      </c>
      <c r="M390" s="23" t="s">
        <v>10</v>
      </c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</row>
    <row r="391" spans="1:31" x14ac:dyDescent="0.3">
      <c r="A391" s="176" t="s">
        <v>841</v>
      </c>
      <c r="B391" s="176" t="s">
        <v>842</v>
      </c>
      <c r="C391" s="25">
        <v>9182551469</v>
      </c>
      <c r="D391" s="188">
        <v>30367</v>
      </c>
      <c r="E391" s="23" t="s">
        <v>1641</v>
      </c>
      <c r="F391" s="23" t="s">
        <v>10</v>
      </c>
      <c r="G391" s="188"/>
      <c r="H391" s="176" t="s">
        <v>841</v>
      </c>
      <c r="I391" s="176" t="s">
        <v>842</v>
      </c>
      <c r="J391" s="25">
        <v>9182551469</v>
      </c>
      <c r="K391" s="188">
        <v>30367</v>
      </c>
      <c r="L391" s="23" t="s">
        <v>1641</v>
      </c>
      <c r="M391" s="23" t="s">
        <v>10</v>
      </c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</row>
    <row r="392" spans="1:31" x14ac:dyDescent="0.3">
      <c r="A392" s="176" t="s">
        <v>843</v>
      </c>
      <c r="B392" s="176" t="s">
        <v>684</v>
      </c>
      <c r="C392" s="25">
        <v>2067515181</v>
      </c>
      <c r="D392" s="188">
        <v>31933</v>
      </c>
      <c r="E392" s="23" t="s">
        <v>1642</v>
      </c>
      <c r="F392" s="23" t="s">
        <v>18</v>
      </c>
      <c r="G392" s="188"/>
      <c r="H392" s="176" t="s">
        <v>843</v>
      </c>
      <c r="I392" s="176" t="s">
        <v>684</v>
      </c>
      <c r="J392" s="25">
        <v>2067515181</v>
      </c>
      <c r="K392" s="188">
        <v>31933</v>
      </c>
      <c r="L392" s="23" t="s">
        <v>1642</v>
      </c>
      <c r="M392" s="23" t="s">
        <v>18</v>
      </c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</row>
    <row r="393" spans="1:31" x14ac:dyDescent="0.3">
      <c r="A393" s="176" t="s">
        <v>844</v>
      </c>
      <c r="B393" s="176" t="s">
        <v>845</v>
      </c>
      <c r="C393" s="25">
        <v>4174618773</v>
      </c>
      <c r="D393" s="188">
        <v>32417</v>
      </c>
      <c r="E393" s="23" t="s">
        <v>1643</v>
      </c>
      <c r="F393" s="23" t="s">
        <v>18</v>
      </c>
      <c r="G393" s="188"/>
      <c r="H393" s="176" t="s">
        <v>844</v>
      </c>
      <c r="I393" s="176" t="s">
        <v>845</v>
      </c>
      <c r="J393" s="25">
        <v>4174618773</v>
      </c>
      <c r="K393" s="188">
        <v>32417</v>
      </c>
      <c r="L393" s="23" t="s">
        <v>1643</v>
      </c>
      <c r="M393" s="23" t="s">
        <v>18</v>
      </c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</row>
    <row r="394" spans="1:31" x14ac:dyDescent="0.3">
      <c r="A394" s="176" t="s">
        <v>846</v>
      </c>
      <c r="B394" s="176" t="s">
        <v>589</v>
      </c>
      <c r="C394" s="25">
        <v>5168253211</v>
      </c>
      <c r="D394" s="188">
        <v>32648</v>
      </c>
      <c r="E394" s="23" t="s">
        <v>1644</v>
      </c>
      <c r="F394" s="23" t="s">
        <v>10</v>
      </c>
      <c r="G394" s="188"/>
      <c r="H394" s="176" t="s">
        <v>846</v>
      </c>
      <c r="I394" s="176" t="s">
        <v>589</v>
      </c>
      <c r="J394" s="25">
        <v>5168253211</v>
      </c>
      <c r="K394" s="188">
        <v>32648</v>
      </c>
      <c r="L394" s="23" t="s">
        <v>1644</v>
      </c>
      <c r="M394" s="23" t="s">
        <v>10</v>
      </c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</row>
    <row r="395" spans="1:31" x14ac:dyDescent="0.3">
      <c r="A395" s="176" t="s">
        <v>847</v>
      </c>
      <c r="B395" s="176" t="s">
        <v>684</v>
      </c>
      <c r="C395" s="25">
        <v>6068561246</v>
      </c>
      <c r="D395" s="188">
        <v>32663</v>
      </c>
      <c r="E395" s="23" t="s">
        <v>1645</v>
      </c>
      <c r="F395" s="23" t="s">
        <v>6</v>
      </c>
      <c r="G395" s="188"/>
      <c r="H395" s="176" t="s">
        <v>847</v>
      </c>
      <c r="I395" s="176" t="s">
        <v>684</v>
      </c>
      <c r="J395" s="25">
        <v>6068561246</v>
      </c>
      <c r="K395" s="188">
        <v>32663</v>
      </c>
      <c r="L395" s="23" t="s">
        <v>1645</v>
      </c>
      <c r="M395" s="23" t="s">
        <v>6</v>
      </c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</row>
    <row r="396" spans="1:31" x14ac:dyDescent="0.3">
      <c r="A396" s="176" t="s">
        <v>848</v>
      </c>
      <c r="B396" s="176" t="s">
        <v>472</v>
      </c>
      <c r="C396" s="25">
        <v>5161376854</v>
      </c>
      <c r="D396" s="188">
        <v>32789</v>
      </c>
      <c r="E396" s="23" t="s">
        <v>1646</v>
      </c>
      <c r="F396" s="23" t="s">
        <v>18</v>
      </c>
      <c r="G396" s="188"/>
      <c r="H396" s="176" t="s">
        <v>848</v>
      </c>
      <c r="I396" s="176" t="s">
        <v>472</v>
      </c>
      <c r="J396" s="25">
        <v>5161376854</v>
      </c>
      <c r="K396" s="188">
        <v>32789</v>
      </c>
      <c r="L396" s="23" t="s">
        <v>1646</v>
      </c>
      <c r="M396" s="23" t="s">
        <v>18</v>
      </c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</row>
    <row r="397" spans="1:31" x14ac:dyDescent="0.3">
      <c r="A397" s="176" t="s">
        <v>849</v>
      </c>
      <c r="B397" s="176" t="s">
        <v>429</v>
      </c>
      <c r="C397" s="25">
        <v>4016026842</v>
      </c>
      <c r="D397" s="188">
        <v>32694</v>
      </c>
      <c r="E397" s="23" t="s">
        <v>1647</v>
      </c>
      <c r="F397" s="23" t="s">
        <v>6</v>
      </c>
      <c r="G397" s="188"/>
      <c r="H397" s="176" t="s">
        <v>849</v>
      </c>
      <c r="I397" s="176" t="s">
        <v>429</v>
      </c>
      <c r="J397" s="25">
        <v>4016026842</v>
      </c>
      <c r="K397" s="188">
        <v>32694</v>
      </c>
      <c r="L397" s="23" t="s">
        <v>1647</v>
      </c>
      <c r="M397" s="23" t="s">
        <v>6</v>
      </c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</row>
    <row r="398" spans="1:31" x14ac:dyDescent="0.3">
      <c r="A398" s="176" t="s">
        <v>850</v>
      </c>
      <c r="B398" s="176" t="s">
        <v>389</v>
      </c>
      <c r="C398" s="25">
        <v>4083744359</v>
      </c>
      <c r="D398" s="188">
        <v>27859</v>
      </c>
      <c r="E398" s="23" t="s">
        <v>1648</v>
      </c>
      <c r="F398" s="23" t="s">
        <v>10</v>
      </c>
      <c r="G398" s="188"/>
      <c r="H398" s="176" t="s">
        <v>850</v>
      </c>
      <c r="I398" s="176" t="s">
        <v>389</v>
      </c>
      <c r="J398" s="25">
        <v>4083744359</v>
      </c>
      <c r="K398" s="188">
        <v>27859</v>
      </c>
      <c r="L398" s="23" t="s">
        <v>1648</v>
      </c>
      <c r="M398" s="23" t="s">
        <v>10</v>
      </c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</row>
    <row r="399" spans="1:31" x14ac:dyDescent="0.3">
      <c r="A399" s="176" t="s">
        <v>851</v>
      </c>
      <c r="B399" s="176" t="s">
        <v>804</v>
      </c>
      <c r="C399" s="25">
        <v>9151919147</v>
      </c>
      <c r="D399" s="188">
        <v>27858</v>
      </c>
      <c r="E399" s="23" t="s">
        <v>1649</v>
      </c>
      <c r="F399" s="23" t="s">
        <v>10</v>
      </c>
      <c r="G399" s="188"/>
      <c r="H399" s="176" t="s">
        <v>851</v>
      </c>
      <c r="I399" s="176" t="s">
        <v>804</v>
      </c>
      <c r="J399" s="25">
        <v>9151919147</v>
      </c>
      <c r="K399" s="188">
        <v>27858</v>
      </c>
      <c r="L399" s="23" t="s">
        <v>1649</v>
      </c>
      <c r="M399" s="23" t="s">
        <v>10</v>
      </c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</row>
    <row r="400" spans="1:31" x14ac:dyDescent="0.3">
      <c r="A400" s="176" t="s">
        <v>852</v>
      </c>
      <c r="B400" s="176" t="s">
        <v>804</v>
      </c>
      <c r="C400" s="25">
        <v>4116082608</v>
      </c>
      <c r="D400" s="188">
        <v>35747</v>
      </c>
      <c r="E400" s="23" t="s">
        <v>1650</v>
      </c>
      <c r="F400" s="23" t="s">
        <v>10</v>
      </c>
      <c r="G400" s="188"/>
      <c r="H400" s="176" t="s">
        <v>852</v>
      </c>
      <c r="I400" s="176" t="s">
        <v>804</v>
      </c>
      <c r="J400" s="25">
        <v>4116082608</v>
      </c>
      <c r="K400" s="188">
        <v>35747</v>
      </c>
      <c r="L400" s="23" t="s">
        <v>1650</v>
      </c>
      <c r="M400" s="23" t="s">
        <v>10</v>
      </c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</row>
    <row r="401" spans="1:31" x14ac:dyDescent="0.3">
      <c r="A401" s="176" t="s">
        <v>853</v>
      </c>
      <c r="B401" s="176" t="s">
        <v>854</v>
      </c>
      <c r="C401" s="25">
        <v>6057686976</v>
      </c>
      <c r="D401" s="188">
        <v>29671</v>
      </c>
      <c r="E401" s="23" t="s">
        <v>1651</v>
      </c>
      <c r="F401" s="23" t="s">
        <v>18</v>
      </c>
      <c r="G401" s="188"/>
      <c r="H401" s="176" t="s">
        <v>853</v>
      </c>
      <c r="I401" s="176" t="s">
        <v>854</v>
      </c>
      <c r="J401" s="25">
        <v>6057686976</v>
      </c>
      <c r="K401" s="188">
        <v>29671</v>
      </c>
      <c r="L401" s="23" t="s">
        <v>1651</v>
      </c>
      <c r="M401" s="23" t="s">
        <v>18</v>
      </c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</row>
    <row r="402" spans="1:31" x14ac:dyDescent="0.3">
      <c r="A402" s="176" t="s">
        <v>855</v>
      </c>
      <c r="B402" s="176" t="s">
        <v>659</v>
      </c>
      <c r="C402" s="25">
        <v>8167146686</v>
      </c>
      <c r="D402" s="188">
        <v>35708</v>
      </c>
      <c r="E402" s="23" t="s">
        <v>1652</v>
      </c>
      <c r="F402" s="23" t="s">
        <v>6</v>
      </c>
      <c r="G402" s="188"/>
      <c r="H402" s="176" t="s">
        <v>855</v>
      </c>
      <c r="I402" s="176" t="s">
        <v>659</v>
      </c>
      <c r="J402" s="25">
        <v>8167146686</v>
      </c>
      <c r="K402" s="188">
        <v>35708</v>
      </c>
      <c r="L402" s="23" t="s">
        <v>1652</v>
      </c>
      <c r="M402" s="23" t="s">
        <v>6</v>
      </c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</row>
    <row r="403" spans="1:31" x14ac:dyDescent="0.3">
      <c r="A403" s="176" t="s">
        <v>856</v>
      </c>
      <c r="B403" s="176" t="s">
        <v>342</v>
      </c>
      <c r="C403" s="25">
        <v>4194729409</v>
      </c>
      <c r="D403" s="188">
        <v>28497</v>
      </c>
      <c r="E403" s="23" t="s">
        <v>1653</v>
      </c>
      <c r="F403" s="23" t="s">
        <v>10</v>
      </c>
      <c r="G403" s="188"/>
      <c r="H403" s="176" t="s">
        <v>856</v>
      </c>
      <c r="I403" s="176" t="s">
        <v>342</v>
      </c>
      <c r="J403" s="25">
        <v>4194729409</v>
      </c>
      <c r="K403" s="188">
        <v>28497</v>
      </c>
      <c r="L403" s="23" t="s">
        <v>1653</v>
      </c>
      <c r="M403" s="23" t="s">
        <v>10</v>
      </c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</row>
    <row r="404" spans="1:31" x14ac:dyDescent="0.3">
      <c r="A404" s="176" t="s">
        <v>857</v>
      </c>
      <c r="B404" s="176" t="s">
        <v>858</v>
      </c>
      <c r="C404" s="25">
        <v>5041789943</v>
      </c>
      <c r="D404" s="188">
        <v>29369</v>
      </c>
      <c r="E404" s="23" t="s">
        <v>1654</v>
      </c>
      <c r="F404" s="23" t="s">
        <v>10</v>
      </c>
      <c r="G404" s="188"/>
      <c r="H404" s="176" t="s">
        <v>857</v>
      </c>
      <c r="I404" s="176" t="s">
        <v>858</v>
      </c>
      <c r="J404" s="25">
        <v>5041789943</v>
      </c>
      <c r="K404" s="188">
        <v>29369</v>
      </c>
      <c r="L404" s="23" t="s">
        <v>1654</v>
      </c>
      <c r="M404" s="23" t="s">
        <v>10</v>
      </c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</row>
    <row r="405" spans="1:31" x14ac:dyDescent="0.3">
      <c r="A405" s="176" t="s">
        <v>859</v>
      </c>
      <c r="B405" s="176" t="s">
        <v>684</v>
      </c>
      <c r="C405" s="25">
        <v>6178443818</v>
      </c>
      <c r="D405" s="188">
        <v>29787</v>
      </c>
      <c r="E405" s="23" t="s">
        <v>1655</v>
      </c>
      <c r="F405" s="23" t="s">
        <v>10</v>
      </c>
      <c r="G405" s="188"/>
      <c r="H405" s="176" t="s">
        <v>859</v>
      </c>
      <c r="I405" s="176" t="s">
        <v>684</v>
      </c>
      <c r="J405" s="25">
        <v>6178443818</v>
      </c>
      <c r="K405" s="188">
        <v>29787</v>
      </c>
      <c r="L405" s="23" t="s">
        <v>1655</v>
      </c>
      <c r="M405" s="23" t="s">
        <v>10</v>
      </c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</row>
    <row r="406" spans="1:31" x14ac:dyDescent="0.3">
      <c r="A406" s="176" t="s">
        <v>860</v>
      </c>
      <c r="B406" s="176" t="s">
        <v>861</v>
      </c>
      <c r="C406" s="25">
        <v>7127194901</v>
      </c>
      <c r="D406" s="188">
        <v>35194</v>
      </c>
      <c r="E406" s="23" t="s">
        <v>1656</v>
      </c>
      <c r="F406" s="23" t="s">
        <v>6</v>
      </c>
      <c r="G406" s="188"/>
      <c r="H406" s="176" t="s">
        <v>860</v>
      </c>
      <c r="I406" s="176" t="s">
        <v>861</v>
      </c>
      <c r="J406" s="25">
        <v>7127194901</v>
      </c>
      <c r="K406" s="188">
        <v>35194</v>
      </c>
      <c r="L406" s="23" t="s">
        <v>1656</v>
      </c>
      <c r="M406" s="23" t="s">
        <v>6</v>
      </c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</row>
    <row r="407" spans="1:31" x14ac:dyDescent="0.3">
      <c r="A407" s="176" t="s">
        <v>862</v>
      </c>
      <c r="B407" s="176" t="s">
        <v>285</v>
      </c>
      <c r="C407" s="25">
        <v>9183077504</v>
      </c>
      <c r="D407" s="188">
        <v>28025</v>
      </c>
      <c r="E407" s="23" t="s">
        <v>1657</v>
      </c>
      <c r="F407" s="23" t="s">
        <v>10</v>
      </c>
      <c r="G407" s="188"/>
      <c r="H407" s="176" t="s">
        <v>862</v>
      </c>
      <c r="I407" s="176" t="s">
        <v>285</v>
      </c>
      <c r="J407" s="25">
        <v>9183077504</v>
      </c>
      <c r="K407" s="188">
        <v>28025</v>
      </c>
      <c r="L407" s="23" t="s">
        <v>1657</v>
      </c>
      <c r="M407" s="23" t="s">
        <v>10</v>
      </c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</row>
    <row r="408" spans="1:31" x14ac:dyDescent="0.3">
      <c r="A408" s="176" t="s">
        <v>863</v>
      </c>
      <c r="B408" s="176" t="s">
        <v>348</v>
      </c>
      <c r="C408" s="25">
        <v>4067187041</v>
      </c>
      <c r="D408" s="188">
        <v>27920</v>
      </c>
      <c r="E408" s="23" t="s">
        <v>1658</v>
      </c>
      <c r="F408" s="23" t="s">
        <v>10</v>
      </c>
      <c r="G408" s="188"/>
      <c r="H408" s="176" t="s">
        <v>863</v>
      </c>
      <c r="I408" s="176" t="s">
        <v>348</v>
      </c>
      <c r="J408" s="25">
        <v>4067187041</v>
      </c>
      <c r="K408" s="188">
        <v>27920</v>
      </c>
      <c r="L408" s="23" t="s">
        <v>1658</v>
      </c>
      <c r="M408" s="23" t="s">
        <v>10</v>
      </c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</row>
    <row r="409" spans="1:31" x14ac:dyDescent="0.3">
      <c r="A409" s="176" t="s">
        <v>864</v>
      </c>
      <c r="B409" s="176" t="s">
        <v>783</v>
      </c>
      <c r="C409" s="25">
        <v>2086753698</v>
      </c>
      <c r="D409" s="188">
        <v>28613</v>
      </c>
      <c r="E409" s="23" t="s">
        <v>1659</v>
      </c>
      <c r="F409" s="23" t="s">
        <v>6</v>
      </c>
      <c r="G409" s="188"/>
      <c r="H409" s="176" t="s">
        <v>864</v>
      </c>
      <c r="I409" s="176" t="s">
        <v>783</v>
      </c>
      <c r="J409" s="25">
        <v>2086753698</v>
      </c>
      <c r="K409" s="188">
        <v>28613</v>
      </c>
      <c r="L409" s="23" t="s">
        <v>1659</v>
      </c>
      <c r="M409" s="23" t="s">
        <v>6</v>
      </c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</row>
    <row r="410" spans="1:31" x14ac:dyDescent="0.3">
      <c r="A410" s="176" t="s">
        <v>865</v>
      </c>
      <c r="B410" s="176" t="s">
        <v>285</v>
      </c>
      <c r="C410" s="25">
        <v>4125968632</v>
      </c>
      <c r="D410" s="188">
        <v>28933</v>
      </c>
      <c r="E410" s="23" t="s">
        <v>1660</v>
      </c>
      <c r="F410" s="23" t="s">
        <v>33</v>
      </c>
      <c r="G410" s="188"/>
      <c r="H410" s="176" t="s">
        <v>865</v>
      </c>
      <c r="I410" s="176" t="s">
        <v>285</v>
      </c>
      <c r="J410" s="25">
        <v>4125968632</v>
      </c>
      <c r="K410" s="188">
        <v>28933</v>
      </c>
      <c r="L410" s="23" t="s">
        <v>1660</v>
      </c>
      <c r="M410" s="23" t="s">
        <v>33</v>
      </c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</row>
    <row r="411" spans="1:31" x14ac:dyDescent="0.3">
      <c r="A411" s="176" t="s">
        <v>866</v>
      </c>
      <c r="B411" s="176" t="s">
        <v>867</v>
      </c>
      <c r="C411" s="25">
        <v>4166503334</v>
      </c>
      <c r="D411" s="188">
        <v>29787</v>
      </c>
      <c r="E411" s="23" t="s">
        <v>1661</v>
      </c>
      <c r="F411" s="23" t="s">
        <v>10</v>
      </c>
      <c r="G411" s="188"/>
      <c r="H411" s="176" t="s">
        <v>866</v>
      </c>
      <c r="I411" s="176" t="s">
        <v>867</v>
      </c>
      <c r="J411" s="25">
        <v>4166503334</v>
      </c>
      <c r="K411" s="188">
        <v>29787</v>
      </c>
      <c r="L411" s="23" t="s">
        <v>1661</v>
      </c>
      <c r="M411" s="23" t="s">
        <v>10</v>
      </c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</row>
    <row r="412" spans="1:31" x14ac:dyDescent="0.3">
      <c r="A412" s="176" t="s">
        <v>868</v>
      </c>
      <c r="B412" s="176" t="s">
        <v>500</v>
      </c>
      <c r="C412" s="25">
        <v>4117853314</v>
      </c>
      <c r="D412" s="188">
        <v>30496</v>
      </c>
      <c r="E412" s="23" t="s">
        <v>1662</v>
      </c>
      <c r="F412" s="23" t="s">
        <v>6</v>
      </c>
      <c r="G412" s="188"/>
      <c r="H412" s="176" t="s">
        <v>868</v>
      </c>
      <c r="I412" s="176" t="s">
        <v>500</v>
      </c>
      <c r="J412" s="25">
        <v>4117853314</v>
      </c>
      <c r="K412" s="188">
        <v>30496</v>
      </c>
      <c r="L412" s="23" t="s">
        <v>1662</v>
      </c>
      <c r="M412" s="23" t="s">
        <v>6</v>
      </c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</row>
    <row r="413" spans="1:31" x14ac:dyDescent="0.3">
      <c r="A413" s="176" t="s">
        <v>234</v>
      </c>
      <c r="B413" s="176" t="s">
        <v>235</v>
      </c>
      <c r="C413" s="25">
        <v>8064416232</v>
      </c>
      <c r="D413" s="188">
        <v>34693</v>
      </c>
      <c r="E413" s="23" t="s">
        <v>1663</v>
      </c>
      <c r="F413" s="23" t="s">
        <v>6</v>
      </c>
      <c r="G413" s="188"/>
      <c r="H413" s="176" t="s">
        <v>234</v>
      </c>
      <c r="I413" s="176" t="s">
        <v>235</v>
      </c>
      <c r="J413" s="25">
        <v>8064416232</v>
      </c>
      <c r="K413" s="188">
        <v>34693</v>
      </c>
      <c r="L413" s="23" t="s">
        <v>1663</v>
      </c>
      <c r="M413" s="23" t="s">
        <v>6</v>
      </c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</row>
    <row r="414" spans="1:31" x14ac:dyDescent="0.3">
      <c r="A414" s="176" t="s">
        <v>234</v>
      </c>
      <c r="B414" s="176" t="s">
        <v>244</v>
      </c>
      <c r="C414" s="25">
        <v>3122338778</v>
      </c>
      <c r="D414" s="188">
        <v>29899</v>
      </c>
      <c r="E414" s="23" t="s">
        <v>1664</v>
      </c>
      <c r="F414" s="23" t="s">
        <v>10</v>
      </c>
      <c r="G414" s="188"/>
      <c r="H414" s="176" t="s">
        <v>234</v>
      </c>
      <c r="I414" s="176" t="s">
        <v>244</v>
      </c>
      <c r="J414" s="25">
        <v>3122338778</v>
      </c>
      <c r="K414" s="188">
        <v>29899</v>
      </c>
      <c r="L414" s="23" t="s">
        <v>1664</v>
      </c>
      <c r="M414" s="23" t="s">
        <v>10</v>
      </c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</row>
    <row r="415" spans="1:31" x14ac:dyDescent="0.3">
      <c r="A415" s="176" t="s">
        <v>234</v>
      </c>
      <c r="B415" s="176" t="s">
        <v>256</v>
      </c>
      <c r="C415" s="25">
        <v>7127172882</v>
      </c>
      <c r="D415" s="188">
        <v>33339</v>
      </c>
      <c r="E415" s="23" t="s">
        <v>1665</v>
      </c>
      <c r="F415" s="23" t="s">
        <v>10</v>
      </c>
      <c r="G415" s="188"/>
      <c r="H415" s="176" t="s">
        <v>234</v>
      </c>
      <c r="I415" s="176" t="s">
        <v>256</v>
      </c>
      <c r="J415" s="25">
        <v>7127172882</v>
      </c>
      <c r="K415" s="188">
        <v>33339</v>
      </c>
      <c r="L415" s="23" t="s">
        <v>1665</v>
      </c>
      <c r="M415" s="23" t="s">
        <v>10</v>
      </c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</row>
    <row r="416" spans="1:31" x14ac:dyDescent="0.3">
      <c r="A416" s="176" t="s">
        <v>234</v>
      </c>
      <c r="B416" s="176" t="s">
        <v>265</v>
      </c>
      <c r="C416" s="25">
        <v>2173838954</v>
      </c>
      <c r="D416" s="188">
        <v>34836</v>
      </c>
      <c r="E416" s="23" t="s">
        <v>1666</v>
      </c>
      <c r="F416" s="23" t="s">
        <v>18</v>
      </c>
      <c r="G416" s="188"/>
      <c r="H416" s="176" t="s">
        <v>234</v>
      </c>
      <c r="I416" s="176" t="s">
        <v>265</v>
      </c>
      <c r="J416" s="25">
        <v>2173838954</v>
      </c>
      <c r="K416" s="188">
        <v>34836</v>
      </c>
      <c r="L416" s="23" t="s">
        <v>1666</v>
      </c>
      <c r="M416" s="23" t="s">
        <v>18</v>
      </c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</row>
    <row r="417" spans="1:31" x14ac:dyDescent="0.3">
      <c r="A417" s="176" t="s">
        <v>234</v>
      </c>
      <c r="B417" s="176" t="s">
        <v>411</v>
      </c>
      <c r="C417" s="25">
        <v>7081375297</v>
      </c>
      <c r="D417" s="188">
        <v>30039</v>
      </c>
      <c r="E417" s="23" t="s">
        <v>1667</v>
      </c>
      <c r="F417" s="23" t="s">
        <v>10</v>
      </c>
      <c r="G417" s="188"/>
      <c r="H417" s="176" t="s">
        <v>234</v>
      </c>
      <c r="I417" s="176" t="s">
        <v>411</v>
      </c>
      <c r="J417" s="25">
        <v>7081375297</v>
      </c>
      <c r="K417" s="188">
        <v>30039</v>
      </c>
      <c r="L417" s="23" t="s">
        <v>1667</v>
      </c>
      <c r="M417" s="23" t="s">
        <v>10</v>
      </c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</row>
    <row r="418" spans="1:31" x14ac:dyDescent="0.3">
      <c r="A418" s="176" t="s">
        <v>869</v>
      </c>
      <c r="B418" s="176" t="s">
        <v>421</v>
      </c>
      <c r="C418" s="25">
        <v>6038678875</v>
      </c>
      <c r="D418" s="188">
        <v>29379</v>
      </c>
      <c r="E418" s="23" t="s">
        <v>1668</v>
      </c>
      <c r="F418" s="23" t="s">
        <v>10</v>
      </c>
      <c r="G418" s="188"/>
      <c r="H418" s="176" t="s">
        <v>869</v>
      </c>
      <c r="I418" s="176" t="s">
        <v>421</v>
      </c>
      <c r="J418" s="25">
        <v>6038678875</v>
      </c>
      <c r="K418" s="188">
        <v>29379</v>
      </c>
      <c r="L418" s="23" t="s">
        <v>1668</v>
      </c>
      <c r="M418" s="23" t="s">
        <v>10</v>
      </c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</row>
    <row r="419" spans="1:31" x14ac:dyDescent="0.3">
      <c r="A419" s="176" t="s">
        <v>870</v>
      </c>
      <c r="B419" s="176" t="s">
        <v>871</v>
      </c>
      <c r="C419" s="25">
        <v>9086526117</v>
      </c>
      <c r="D419" s="188">
        <v>35625</v>
      </c>
      <c r="E419" s="23" t="s">
        <v>1669</v>
      </c>
      <c r="F419" s="23" t="s">
        <v>10</v>
      </c>
      <c r="G419" s="188"/>
      <c r="H419" s="176" t="s">
        <v>870</v>
      </c>
      <c r="I419" s="176" t="s">
        <v>871</v>
      </c>
      <c r="J419" s="25">
        <v>9086526117</v>
      </c>
      <c r="K419" s="188">
        <v>35625</v>
      </c>
      <c r="L419" s="23" t="s">
        <v>1669</v>
      </c>
      <c r="M419" s="23" t="s">
        <v>10</v>
      </c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</row>
    <row r="420" spans="1:31" x14ac:dyDescent="0.3">
      <c r="A420" s="176" t="s">
        <v>872</v>
      </c>
      <c r="B420" s="176" t="s">
        <v>592</v>
      </c>
      <c r="C420" s="25">
        <v>7057889149</v>
      </c>
      <c r="D420" s="188">
        <v>29487</v>
      </c>
      <c r="E420" s="23" t="s">
        <v>1670</v>
      </c>
      <c r="F420" s="23" t="s">
        <v>6</v>
      </c>
      <c r="G420" s="188"/>
      <c r="H420" s="176" t="s">
        <v>872</v>
      </c>
      <c r="I420" s="176" t="s">
        <v>592</v>
      </c>
      <c r="J420" s="25">
        <v>7057889149</v>
      </c>
      <c r="K420" s="188">
        <v>29487</v>
      </c>
      <c r="L420" s="23" t="s">
        <v>1670</v>
      </c>
      <c r="M420" s="23" t="s">
        <v>6</v>
      </c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</row>
    <row r="421" spans="1:31" x14ac:dyDescent="0.3">
      <c r="A421" s="176" t="s">
        <v>873</v>
      </c>
      <c r="B421" s="176" t="s">
        <v>322</v>
      </c>
      <c r="C421" s="25">
        <v>6198238755</v>
      </c>
      <c r="D421" s="188">
        <v>28537</v>
      </c>
      <c r="E421" s="23" t="s">
        <v>1671</v>
      </c>
      <c r="F421" s="23" t="s">
        <v>10</v>
      </c>
      <c r="G421" s="188"/>
      <c r="H421" s="176" t="s">
        <v>873</v>
      </c>
      <c r="I421" s="176" t="s">
        <v>322</v>
      </c>
      <c r="J421" s="25">
        <v>6198238755</v>
      </c>
      <c r="K421" s="188">
        <v>28537</v>
      </c>
      <c r="L421" s="23" t="s">
        <v>1671</v>
      </c>
      <c r="M421" s="23" t="s">
        <v>10</v>
      </c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</row>
    <row r="422" spans="1:31" ht="26.4" x14ac:dyDescent="0.3">
      <c r="A422" s="176" t="s">
        <v>874</v>
      </c>
      <c r="B422" s="176" t="s">
        <v>405</v>
      </c>
      <c r="C422" s="25">
        <v>4121617913</v>
      </c>
      <c r="D422" s="188">
        <v>30367</v>
      </c>
      <c r="E422" s="23" t="s">
        <v>1672</v>
      </c>
      <c r="F422" s="23" t="s">
        <v>10</v>
      </c>
      <c r="G422" s="188"/>
      <c r="H422" s="176" t="s">
        <v>874</v>
      </c>
      <c r="I422" s="176" t="s">
        <v>405</v>
      </c>
      <c r="J422" s="25">
        <v>4121617913</v>
      </c>
      <c r="K422" s="188">
        <v>30367</v>
      </c>
      <c r="L422" s="23" t="s">
        <v>1672</v>
      </c>
      <c r="M422" s="23" t="s">
        <v>10</v>
      </c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</row>
    <row r="423" spans="1:31" x14ac:dyDescent="0.3">
      <c r="A423" s="176" t="s">
        <v>875</v>
      </c>
      <c r="B423" s="176" t="s">
        <v>453</v>
      </c>
      <c r="C423" s="25">
        <v>9125459665</v>
      </c>
      <c r="D423" s="188">
        <v>31933</v>
      </c>
      <c r="E423" s="23" t="s">
        <v>1673</v>
      </c>
      <c r="F423" s="23" t="s">
        <v>10</v>
      </c>
      <c r="G423" s="188"/>
      <c r="H423" s="176" t="s">
        <v>875</v>
      </c>
      <c r="I423" s="176" t="s">
        <v>453</v>
      </c>
      <c r="J423" s="25">
        <v>9125459665</v>
      </c>
      <c r="K423" s="188">
        <v>31933</v>
      </c>
      <c r="L423" s="23" t="s">
        <v>1673</v>
      </c>
      <c r="M423" s="23" t="s">
        <v>10</v>
      </c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</row>
    <row r="424" spans="1:31" x14ac:dyDescent="0.3">
      <c r="A424" s="176" t="s">
        <v>876</v>
      </c>
      <c r="B424" s="176" t="s">
        <v>499</v>
      </c>
      <c r="C424" s="25">
        <v>7136196095</v>
      </c>
      <c r="D424" s="188">
        <v>32417</v>
      </c>
      <c r="E424" s="23" t="s">
        <v>1674</v>
      </c>
      <c r="F424" s="23" t="s">
        <v>6</v>
      </c>
      <c r="G424" s="188"/>
      <c r="H424" s="176" t="s">
        <v>876</v>
      </c>
      <c r="I424" s="176" t="s">
        <v>499</v>
      </c>
      <c r="J424" s="25">
        <v>7136196095</v>
      </c>
      <c r="K424" s="188">
        <v>32417</v>
      </c>
      <c r="L424" s="23" t="s">
        <v>1674</v>
      </c>
      <c r="M424" s="23" t="s">
        <v>6</v>
      </c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</row>
    <row r="425" spans="1:31" x14ac:dyDescent="0.3">
      <c r="A425" s="176" t="s">
        <v>877</v>
      </c>
      <c r="B425" s="176" t="s">
        <v>395</v>
      </c>
      <c r="C425" s="25">
        <v>9085165289</v>
      </c>
      <c r="D425" s="188">
        <v>32648</v>
      </c>
      <c r="E425" s="23" t="s">
        <v>1675</v>
      </c>
      <c r="F425" s="23" t="s">
        <v>18</v>
      </c>
      <c r="G425" s="188"/>
      <c r="H425" s="176" t="s">
        <v>877</v>
      </c>
      <c r="I425" s="176" t="s">
        <v>395</v>
      </c>
      <c r="J425" s="25">
        <v>9085165289</v>
      </c>
      <c r="K425" s="188">
        <v>32648</v>
      </c>
      <c r="L425" s="23" t="s">
        <v>1675</v>
      </c>
      <c r="M425" s="23" t="s">
        <v>18</v>
      </c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</row>
    <row r="426" spans="1:31" x14ac:dyDescent="0.3">
      <c r="A426" s="176" t="s">
        <v>878</v>
      </c>
      <c r="B426" s="176" t="s">
        <v>879</v>
      </c>
      <c r="C426" s="25">
        <v>8066689962</v>
      </c>
      <c r="D426" s="188">
        <v>32663</v>
      </c>
      <c r="E426" s="23" t="s">
        <v>1676</v>
      </c>
      <c r="F426" s="23" t="s">
        <v>6</v>
      </c>
      <c r="G426" s="188"/>
      <c r="H426" s="176" t="s">
        <v>878</v>
      </c>
      <c r="I426" s="176" t="s">
        <v>879</v>
      </c>
      <c r="J426" s="25">
        <v>8066689962</v>
      </c>
      <c r="K426" s="188">
        <v>32663</v>
      </c>
      <c r="L426" s="23" t="s">
        <v>1676</v>
      </c>
      <c r="M426" s="23" t="s">
        <v>6</v>
      </c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</row>
    <row r="427" spans="1:31" x14ac:dyDescent="0.3">
      <c r="A427" s="176" t="s">
        <v>880</v>
      </c>
      <c r="B427" s="176" t="s">
        <v>472</v>
      </c>
      <c r="C427" s="25">
        <v>2012126686</v>
      </c>
      <c r="D427" s="188">
        <v>32789</v>
      </c>
      <c r="E427" s="23" t="s">
        <v>1677</v>
      </c>
      <c r="F427" s="23" t="s">
        <v>6</v>
      </c>
      <c r="G427" s="188"/>
      <c r="H427" s="176" t="s">
        <v>880</v>
      </c>
      <c r="I427" s="176" t="s">
        <v>472</v>
      </c>
      <c r="J427" s="25">
        <v>2012126686</v>
      </c>
      <c r="K427" s="188">
        <v>32789</v>
      </c>
      <c r="L427" s="23" t="s">
        <v>1677</v>
      </c>
      <c r="M427" s="23" t="s">
        <v>6</v>
      </c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</row>
    <row r="428" spans="1:31" x14ac:dyDescent="0.3">
      <c r="A428" s="176" t="s">
        <v>881</v>
      </c>
      <c r="B428" s="176" t="s">
        <v>405</v>
      </c>
      <c r="C428" s="25">
        <v>2125085320</v>
      </c>
      <c r="D428" s="188">
        <v>30152</v>
      </c>
      <c r="E428" s="23" t="s">
        <v>1678</v>
      </c>
      <c r="F428" s="23" t="s">
        <v>10</v>
      </c>
      <c r="G428" s="188"/>
      <c r="H428" s="176" t="s">
        <v>881</v>
      </c>
      <c r="I428" s="176" t="s">
        <v>405</v>
      </c>
      <c r="J428" s="25">
        <v>2125085320</v>
      </c>
      <c r="K428" s="188">
        <v>30152</v>
      </c>
      <c r="L428" s="23" t="s">
        <v>1678</v>
      </c>
      <c r="M428" s="23" t="s">
        <v>10</v>
      </c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</row>
    <row r="429" spans="1:31" x14ac:dyDescent="0.3">
      <c r="A429" s="176" t="s">
        <v>882</v>
      </c>
      <c r="B429" s="176" t="s">
        <v>355</v>
      </c>
      <c r="C429" s="25">
        <v>5113279828</v>
      </c>
      <c r="D429" s="188">
        <v>33961</v>
      </c>
      <c r="E429" s="23" t="s">
        <v>1679</v>
      </c>
      <c r="F429" s="23" t="s">
        <v>10</v>
      </c>
      <c r="G429" s="188"/>
      <c r="H429" s="176" t="s">
        <v>882</v>
      </c>
      <c r="I429" s="176" t="s">
        <v>355</v>
      </c>
      <c r="J429" s="25">
        <v>5113279828</v>
      </c>
      <c r="K429" s="188">
        <v>33961</v>
      </c>
      <c r="L429" s="23" t="s">
        <v>1679</v>
      </c>
      <c r="M429" s="23" t="s">
        <v>10</v>
      </c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</row>
    <row r="430" spans="1:31" x14ac:dyDescent="0.3">
      <c r="A430" s="176" t="s">
        <v>883</v>
      </c>
      <c r="B430" s="176" t="s">
        <v>884</v>
      </c>
      <c r="C430" s="25">
        <v>3076245634</v>
      </c>
      <c r="D430" s="188">
        <v>28848</v>
      </c>
      <c r="E430" s="23" t="s">
        <v>1680</v>
      </c>
      <c r="F430" s="23" t="s">
        <v>10</v>
      </c>
      <c r="G430" s="188"/>
      <c r="H430" s="176" t="s">
        <v>883</v>
      </c>
      <c r="I430" s="176" t="s">
        <v>884</v>
      </c>
      <c r="J430" s="25">
        <v>3076245634</v>
      </c>
      <c r="K430" s="188">
        <v>28848</v>
      </c>
      <c r="L430" s="23" t="s">
        <v>1680</v>
      </c>
      <c r="M430" s="23" t="s">
        <v>10</v>
      </c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</row>
    <row r="431" spans="1:31" x14ac:dyDescent="0.3">
      <c r="A431" s="176" t="s">
        <v>885</v>
      </c>
      <c r="B431" s="176" t="s">
        <v>886</v>
      </c>
      <c r="C431" s="25">
        <v>9163552027</v>
      </c>
      <c r="D431" s="188">
        <v>30631</v>
      </c>
      <c r="E431" s="23" t="s">
        <v>1681</v>
      </c>
      <c r="F431" s="23" t="s">
        <v>10</v>
      </c>
      <c r="G431" s="188"/>
      <c r="H431" s="176" t="s">
        <v>885</v>
      </c>
      <c r="I431" s="176" t="s">
        <v>886</v>
      </c>
      <c r="J431" s="25">
        <v>9163552027</v>
      </c>
      <c r="K431" s="188">
        <v>30631</v>
      </c>
      <c r="L431" s="23" t="s">
        <v>1681</v>
      </c>
      <c r="M431" s="23" t="s">
        <v>10</v>
      </c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</row>
    <row r="432" spans="1:31" x14ac:dyDescent="0.3">
      <c r="A432" s="176" t="s">
        <v>887</v>
      </c>
      <c r="B432" s="176" t="s">
        <v>342</v>
      </c>
      <c r="C432" s="25">
        <v>7136718651</v>
      </c>
      <c r="D432" s="188">
        <v>28311</v>
      </c>
      <c r="E432" s="23" t="s">
        <v>1682</v>
      </c>
      <c r="F432" s="23" t="s">
        <v>18</v>
      </c>
      <c r="G432" s="188"/>
      <c r="H432" s="176" t="s">
        <v>887</v>
      </c>
      <c r="I432" s="176" t="s">
        <v>342</v>
      </c>
      <c r="J432" s="25">
        <v>7136718651</v>
      </c>
      <c r="K432" s="188">
        <v>28311</v>
      </c>
      <c r="L432" s="23" t="s">
        <v>1682</v>
      </c>
      <c r="M432" s="23" t="s">
        <v>18</v>
      </c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</row>
    <row r="433" spans="1:31" x14ac:dyDescent="0.3">
      <c r="A433" s="176" t="s">
        <v>888</v>
      </c>
      <c r="B433" s="176" t="s">
        <v>322</v>
      </c>
      <c r="C433" s="25">
        <v>4061838930</v>
      </c>
      <c r="D433" s="188">
        <v>29702</v>
      </c>
      <c r="E433" s="23" t="s">
        <v>1683</v>
      </c>
      <c r="F433" s="23" t="s">
        <v>10</v>
      </c>
      <c r="G433" s="188"/>
      <c r="H433" s="176" t="s">
        <v>888</v>
      </c>
      <c r="I433" s="176" t="s">
        <v>322</v>
      </c>
      <c r="J433" s="25">
        <v>4061838930</v>
      </c>
      <c r="K433" s="188">
        <v>29702</v>
      </c>
      <c r="L433" s="23" t="s">
        <v>1683</v>
      </c>
      <c r="M433" s="23" t="s">
        <v>10</v>
      </c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</row>
    <row r="434" spans="1:31" x14ac:dyDescent="0.3">
      <c r="A434" s="176" t="s">
        <v>889</v>
      </c>
      <c r="B434" s="176" t="s">
        <v>509</v>
      </c>
      <c r="C434" s="25">
        <v>9122602559</v>
      </c>
      <c r="D434" s="188">
        <v>32694</v>
      </c>
      <c r="E434" s="23" t="s">
        <v>1684</v>
      </c>
      <c r="F434" s="23" t="s">
        <v>10</v>
      </c>
      <c r="G434" s="188"/>
      <c r="H434" s="176" t="s">
        <v>889</v>
      </c>
      <c r="I434" s="176" t="s">
        <v>509</v>
      </c>
      <c r="J434" s="25">
        <v>9122602559</v>
      </c>
      <c r="K434" s="188">
        <v>32694</v>
      </c>
      <c r="L434" s="23" t="s">
        <v>1684</v>
      </c>
      <c r="M434" s="23" t="s">
        <v>10</v>
      </c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</row>
    <row r="435" spans="1:31" x14ac:dyDescent="0.3">
      <c r="A435" s="176" t="s">
        <v>890</v>
      </c>
      <c r="B435" s="176" t="s">
        <v>447</v>
      </c>
      <c r="C435" s="25">
        <v>4077838614</v>
      </c>
      <c r="D435" s="188">
        <v>27859</v>
      </c>
      <c r="E435" s="23" t="s">
        <v>1685</v>
      </c>
      <c r="F435" s="23" t="s">
        <v>10</v>
      </c>
      <c r="G435" s="188"/>
      <c r="H435" s="176" t="s">
        <v>890</v>
      </c>
      <c r="I435" s="176" t="s">
        <v>447</v>
      </c>
      <c r="J435" s="25">
        <v>4077838614</v>
      </c>
      <c r="K435" s="188">
        <v>27859</v>
      </c>
      <c r="L435" s="23" t="s">
        <v>1685</v>
      </c>
      <c r="M435" s="23" t="s">
        <v>10</v>
      </c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</row>
    <row r="436" spans="1:31" x14ac:dyDescent="0.3">
      <c r="A436" s="176" t="s">
        <v>891</v>
      </c>
      <c r="B436" s="176" t="s">
        <v>322</v>
      </c>
      <c r="C436" s="25">
        <v>2034310812</v>
      </c>
      <c r="D436" s="188">
        <v>27858</v>
      </c>
      <c r="E436" s="23" t="s">
        <v>1686</v>
      </c>
      <c r="F436" s="23" t="s">
        <v>6</v>
      </c>
      <c r="G436" s="188"/>
      <c r="H436" s="176" t="s">
        <v>891</v>
      </c>
      <c r="I436" s="176" t="s">
        <v>322</v>
      </c>
      <c r="J436" s="25">
        <v>2034310812</v>
      </c>
      <c r="K436" s="188">
        <v>27858</v>
      </c>
      <c r="L436" s="23" t="s">
        <v>1686</v>
      </c>
      <c r="M436" s="23" t="s">
        <v>6</v>
      </c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</row>
    <row r="437" spans="1:31" x14ac:dyDescent="0.3">
      <c r="A437" s="176" t="s">
        <v>892</v>
      </c>
      <c r="B437" s="176" t="s">
        <v>893</v>
      </c>
      <c r="C437" s="25">
        <v>2033640748</v>
      </c>
      <c r="D437" s="188">
        <v>35747</v>
      </c>
      <c r="E437" s="23" t="s">
        <v>1687</v>
      </c>
      <c r="F437" s="23" t="s">
        <v>18</v>
      </c>
      <c r="G437" s="188"/>
      <c r="H437" s="176" t="s">
        <v>892</v>
      </c>
      <c r="I437" s="176" t="s">
        <v>893</v>
      </c>
      <c r="J437" s="25">
        <v>2033640748</v>
      </c>
      <c r="K437" s="188">
        <v>35747</v>
      </c>
      <c r="L437" s="23" t="s">
        <v>1687</v>
      </c>
      <c r="M437" s="23" t="s">
        <v>18</v>
      </c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</row>
    <row r="438" spans="1:31" x14ac:dyDescent="0.3">
      <c r="A438" s="176" t="s">
        <v>894</v>
      </c>
      <c r="B438" s="176" t="s">
        <v>895</v>
      </c>
      <c r="C438" s="25">
        <v>7063173691</v>
      </c>
      <c r="D438" s="188">
        <v>29671</v>
      </c>
      <c r="E438" s="23" t="s">
        <v>1688</v>
      </c>
      <c r="F438" s="23" t="s">
        <v>10</v>
      </c>
      <c r="G438" s="188"/>
      <c r="H438" s="176" t="s">
        <v>894</v>
      </c>
      <c r="I438" s="176" t="s">
        <v>895</v>
      </c>
      <c r="J438" s="25">
        <v>7063173691</v>
      </c>
      <c r="K438" s="188">
        <v>29671</v>
      </c>
      <c r="L438" s="23" t="s">
        <v>1688</v>
      </c>
      <c r="M438" s="23" t="s">
        <v>10</v>
      </c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</row>
    <row r="439" spans="1:31" x14ac:dyDescent="0.3">
      <c r="A439" s="176" t="s">
        <v>896</v>
      </c>
      <c r="B439" s="176" t="s">
        <v>550</v>
      </c>
      <c r="C439" s="25">
        <v>9186169135</v>
      </c>
      <c r="D439" s="188">
        <v>35708</v>
      </c>
      <c r="E439" s="23" t="s">
        <v>1689</v>
      </c>
      <c r="F439" s="23" t="s">
        <v>33</v>
      </c>
      <c r="G439" s="188"/>
      <c r="H439" s="176" t="s">
        <v>896</v>
      </c>
      <c r="I439" s="176" t="s">
        <v>550</v>
      </c>
      <c r="J439" s="25">
        <v>9186169135</v>
      </c>
      <c r="K439" s="188">
        <v>35708</v>
      </c>
      <c r="L439" s="23" t="s">
        <v>1689</v>
      </c>
      <c r="M439" s="23" t="s">
        <v>33</v>
      </c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</row>
    <row r="440" spans="1:31" x14ac:dyDescent="0.3">
      <c r="A440" s="176" t="s">
        <v>897</v>
      </c>
      <c r="B440" s="176" t="s">
        <v>336</v>
      </c>
      <c r="C440" s="25">
        <v>6198908079</v>
      </c>
      <c r="D440" s="188">
        <v>28497</v>
      </c>
      <c r="E440" s="23" t="s">
        <v>1690</v>
      </c>
      <c r="F440" s="23" t="s">
        <v>6</v>
      </c>
      <c r="G440" s="188"/>
      <c r="H440" s="176" t="s">
        <v>897</v>
      </c>
      <c r="I440" s="176" t="s">
        <v>336</v>
      </c>
      <c r="J440" s="25">
        <v>6198908079</v>
      </c>
      <c r="K440" s="188">
        <v>28497</v>
      </c>
      <c r="L440" s="23" t="s">
        <v>1690</v>
      </c>
      <c r="M440" s="23" t="s">
        <v>6</v>
      </c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</row>
    <row r="441" spans="1:31" x14ac:dyDescent="0.3">
      <c r="A441" s="176" t="s">
        <v>898</v>
      </c>
      <c r="B441" s="176" t="s">
        <v>429</v>
      </c>
      <c r="C441" s="25">
        <v>7194442207</v>
      </c>
      <c r="D441" s="188">
        <v>29369</v>
      </c>
      <c r="E441" s="23" t="s">
        <v>1691</v>
      </c>
      <c r="F441" s="23" t="s">
        <v>10</v>
      </c>
      <c r="G441" s="188"/>
      <c r="H441" s="176" t="s">
        <v>898</v>
      </c>
      <c r="I441" s="176" t="s">
        <v>429</v>
      </c>
      <c r="J441" s="25">
        <v>7194442207</v>
      </c>
      <c r="K441" s="188">
        <v>29369</v>
      </c>
      <c r="L441" s="23" t="s">
        <v>1691</v>
      </c>
      <c r="M441" s="23" t="s">
        <v>10</v>
      </c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</row>
    <row r="442" spans="1:31" x14ac:dyDescent="0.3">
      <c r="A442" s="176" t="s">
        <v>899</v>
      </c>
      <c r="B442" s="176" t="s">
        <v>462</v>
      </c>
      <c r="C442" s="25">
        <v>9087557761</v>
      </c>
      <c r="D442" s="188">
        <v>29787</v>
      </c>
      <c r="E442" s="23" t="s">
        <v>1692</v>
      </c>
      <c r="F442" s="23" t="s">
        <v>10</v>
      </c>
      <c r="G442" s="188"/>
      <c r="H442" s="176" t="s">
        <v>899</v>
      </c>
      <c r="I442" s="176" t="s">
        <v>462</v>
      </c>
      <c r="J442" s="25">
        <v>9087557761</v>
      </c>
      <c r="K442" s="188">
        <v>29787</v>
      </c>
      <c r="L442" s="23" t="s">
        <v>1692</v>
      </c>
      <c r="M442" s="23" t="s">
        <v>10</v>
      </c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</row>
    <row r="443" spans="1:31" x14ac:dyDescent="0.3">
      <c r="A443" s="176" t="s">
        <v>900</v>
      </c>
      <c r="B443" s="176" t="s">
        <v>462</v>
      </c>
      <c r="C443" s="25">
        <v>6044161772</v>
      </c>
      <c r="D443" s="188">
        <v>35194</v>
      </c>
      <c r="E443" s="23" t="s">
        <v>1693</v>
      </c>
      <c r="F443" s="23" t="s">
        <v>6</v>
      </c>
      <c r="G443" s="188"/>
      <c r="H443" s="176" t="s">
        <v>900</v>
      </c>
      <c r="I443" s="176" t="s">
        <v>462</v>
      </c>
      <c r="J443" s="25">
        <v>6044161772</v>
      </c>
      <c r="K443" s="188">
        <v>35194</v>
      </c>
      <c r="L443" s="23" t="s">
        <v>1693</v>
      </c>
      <c r="M443" s="23" t="s">
        <v>6</v>
      </c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</row>
    <row r="444" spans="1:31" x14ac:dyDescent="0.3">
      <c r="A444" s="176" t="s">
        <v>901</v>
      </c>
      <c r="B444" s="176" t="s">
        <v>902</v>
      </c>
      <c r="C444" s="25">
        <v>5087726916</v>
      </c>
      <c r="D444" s="188">
        <v>28025</v>
      </c>
      <c r="E444" s="23" t="s">
        <v>1694</v>
      </c>
      <c r="F444" s="23" t="s">
        <v>18</v>
      </c>
      <c r="G444" s="188"/>
      <c r="H444" s="176" t="s">
        <v>901</v>
      </c>
      <c r="I444" s="176" t="s">
        <v>902</v>
      </c>
      <c r="J444" s="25">
        <v>5087726916</v>
      </c>
      <c r="K444" s="188">
        <v>28025</v>
      </c>
      <c r="L444" s="23" t="s">
        <v>1694</v>
      </c>
      <c r="M444" s="23" t="s">
        <v>18</v>
      </c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</row>
    <row r="445" spans="1:31" x14ac:dyDescent="0.3">
      <c r="A445" s="176" t="s">
        <v>903</v>
      </c>
      <c r="B445" s="176" t="s">
        <v>904</v>
      </c>
      <c r="C445" s="25">
        <v>5061715499</v>
      </c>
      <c r="D445" s="188">
        <v>27920</v>
      </c>
      <c r="E445" s="23" t="s">
        <v>1309</v>
      </c>
      <c r="F445" s="23" t="s">
        <v>18</v>
      </c>
      <c r="G445" s="188"/>
      <c r="H445" s="176" t="s">
        <v>903</v>
      </c>
      <c r="I445" s="176" t="s">
        <v>904</v>
      </c>
      <c r="J445" s="25">
        <v>5061715499</v>
      </c>
      <c r="K445" s="188">
        <v>27920</v>
      </c>
      <c r="L445" s="23" t="s">
        <v>1309</v>
      </c>
      <c r="M445" s="23" t="s">
        <v>18</v>
      </c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</row>
    <row r="446" spans="1:31" x14ac:dyDescent="0.3">
      <c r="A446" s="176" t="s">
        <v>905</v>
      </c>
      <c r="B446" s="176" t="s">
        <v>906</v>
      </c>
      <c r="C446" s="25">
        <v>9166228199</v>
      </c>
      <c r="D446" s="188">
        <v>28613</v>
      </c>
      <c r="E446" s="23" t="s">
        <v>1695</v>
      </c>
      <c r="F446" s="23" t="s">
        <v>18</v>
      </c>
      <c r="G446" s="188"/>
      <c r="H446" s="176" t="s">
        <v>905</v>
      </c>
      <c r="I446" s="176" t="s">
        <v>906</v>
      </c>
      <c r="J446" s="25">
        <v>9166228199</v>
      </c>
      <c r="K446" s="188">
        <v>28613</v>
      </c>
      <c r="L446" s="23" t="s">
        <v>1695</v>
      </c>
      <c r="M446" s="23" t="s">
        <v>18</v>
      </c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</row>
    <row r="447" spans="1:31" x14ac:dyDescent="0.3">
      <c r="A447" s="176" t="s">
        <v>907</v>
      </c>
      <c r="B447" s="176" t="s">
        <v>908</v>
      </c>
      <c r="C447" s="25">
        <v>2182456406</v>
      </c>
      <c r="D447" s="188">
        <v>28933</v>
      </c>
      <c r="E447" s="23" t="s">
        <v>1696</v>
      </c>
      <c r="F447" s="23" t="s">
        <v>6</v>
      </c>
      <c r="G447" s="188"/>
      <c r="H447" s="176" t="s">
        <v>907</v>
      </c>
      <c r="I447" s="176" t="s">
        <v>908</v>
      </c>
      <c r="J447" s="25">
        <v>2182456406</v>
      </c>
      <c r="K447" s="188">
        <v>28933</v>
      </c>
      <c r="L447" s="23" t="s">
        <v>1696</v>
      </c>
      <c r="M447" s="23" t="s">
        <v>6</v>
      </c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</row>
    <row r="448" spans="1:31" x14ac:dyDescent="0.3">
      <c r="A448" s="176" t="s">
        <v>909</v>
      </c>
      <c r="B448" s="176" t="s">
        <v>353</v>
      </c>
      <c r="C448" s="25">
        <v>6145993367</v>
      </c>
      <c r="D448" s="188">
        <v>29787</v>
      </c>
      <c r="E448" s="23" t="s">
        <v>1697</v>
      </c>
      <c r="F448" s="23" t="s">
        <v>33</v>
      </c>
      <c r="G448" s="188"/>
      <c r="H448" s="176" t="s">
        <v>909</v>
      </c>
      <c r="I448" s="176" t="s">
        <v>353</v>
      </c>
      <c r="J448" s="25">
        <v>6145993367</v>
      </c>
      <c r="K448" s="188">
        <v>29787</v>
      </c>
      <c r="L448" s="23" t="s">
        <v>1697</v>
      </c>
      <c r="M448" s="23" t="s">
        <v>33</v>
      </c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</row>
    <row r="449" spans="1:31" x14ac:dyDescent="0.3">
      <c r="A449" s="176" t="s">
        <v>910</v>
      </c>
      <c r="B449" s="176" t="s">
        <v>911</v>
      </c>
      <c r="C449" s="25">
        <v>9198249735</v>
      </c>
      <c r="D449" s="188">
        <v>30496</v>
      </c>
      <c r="E449" s="23" t="s">
        <v>1698</v>
      </c>
      <c r="F449" s="23" t="s">
        <v>33</v>
      </c>
      <c r="G449" s="188"/>
      <c r="H449" s="176" t="s">
        <v>910</v>
      </c>
      <c r="I449" s="176" t="s">
        <v>911</v>
      </c>
      <c r="J449" s="25">
        <v>9198249735</v>
      </c>
      <c r="K449" s="188">
        <v>30496</v>
      </c>
      <c r="L449" s="23" t="s">
        <v>1698</v>
      </c>
      <c r="M449" s="23" t="s">
        <v>33</v>
      </c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</row>
    <row r="450" spans="1:31" x14ac:dyDescent="0.3">
      <c r="A450" s="176" t="s">
        <v>912</v>
      </c>
      <c r="B450" s="176" t="s">
        <v>913</v>
      </c>
      <c r="C450" s="25">
        <v>9173262077</v>
      </c>
      <c r="D450" s="188">
        <v>34693</v>
      </c>
      <c r="E450" s="23" t="s">
        <v>1699</v>
      </c>
      <c r="F450" s="23" t="s">
        <v>10</v>
      </c>
      <c r="G450" s="188"/>
      <c r="H450" s="176" t="s">
        <v>912</v>
      </c>
      <c r="I450" s="176" t="s">
        <v>913</v>
      </c>
      <c r="J450" s="25">
        <v>9173262077</v>
      </c>
      <c r="K450" s="188">
        <v>34693</v>
      </c>
      <c r="L450" s="23" t="s">
        <v>1699</v>
      </c>
      <c r="M450" s="23" t="s">
        <v>10</v>
      </c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</row>
    <row r="451" spans="1:31" x14ac:dyDescent="0.3">
      <c r="A451" s="176" t="s">
        <v>914</v>
      </c>
      <c r="B451" s="176" t="s">
        <v>322</v>
      </c>
      <c r="C451" s="25">
        <v>9182376215</v>
      </c>
      <c r="D451" s="188">
        <v>29899</v>
      </c>
      <c r="E451" s="23" t="s">
        <v>1700</v>
      </c>
      <c r="F451" s="23" t="s">
        <v>18</v>
      </c>
      <c r="G451" s="188"/>
      <c r="H451" s="176" t="s">
        <v>914</v>
      </c>
      <c r="I451" s="176" t="s">
        <v>322</v>
      </c>
      <c r="J451" s="25">
        <v>9182376215</v>
      </c>
      <c r="K451" s="188">
        <v>29899</v>
      </c>
      <c r="L451" s="23" t="s">
        <v>1700</v>
      </c>
      <c r="M451" s="23" t="s">
        <v>18</v>
      </c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</row>
    <row r="452" spans="1:31" x14ac:dyDescent="0.3">
      <c r="A452" s="176" t="s">
        <v>915</v>
      </c>
      <c r="B452" s="176" t="s">
        <v>916</v>
      </c>
      <c r="C452" s="25">
        <v>5062672603</v>
      </c>
      <c r="D452" s="188">
        <v>33339</v>
      </c>
      <c r="E452" s="23" t="s">
        <v>1701</v>
      </c>
      <c r="F452" s="23" t="s">
        <v>6</v>
      </c>
      <c r="G452" s="188"/>
      <c r="H452" s="176" t="s">
        <v>915</v>
      </c>
      <c r="I452" s="176" t="s">
        <v>916</v>
      </c>
      <c r="J452" s="25">
        <v>5062672603</v>
      </c>
      <c r="K452" s="188">
        <v>33339</v>
      </c>
      <c r="L452" s="23" t="s">
        <v>1701</v>
      </c>
      <c r="M452" s="23" t="s">
        <v>6</v>
      </c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</row>
    <row r="453" spans="1:31" x14ac:dyDescent="0.3">
      <c r="A453" s="176" t="s">
        <v>917</v>
      </c>
      <c r="B453" s="176" t="s">
        <v>845</v>
      </c>
      <c r="C453" s="25">
        <v>2111919478</v>
      </c>
      <c r="D453" s="188">
        <v>34836</v>
      </c>
      <c r="E453" s="23" t="s">
        <v>1702</v>
      </c>
      <c r="F453" s="23" t="s">
        <v>6</v>
      </c>
      <c r="G453" s="188"/>
      <c r="H453" s="176" t="s">
        <v>917</v>
      </c>
      <c r="I453" s="176" t="s">
        <v>845</v>
      </c>
      <c r="J453" s="25">
        <v>2111919478</v>
      </c>
      <c r="K453" s="188">
        <v>34836</v>
      </c>
      <c r="L453" s="23" t="s">
        <v>1702</v>
      </c>
      <c r="M453" s="23" t="s">
        <v>6</v>
      </c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</row>
    <row r="454" spans="1:31" x14ac:dyDescent="0.3">
      <c r="A454" s="176" t="s">
        <v>918</v>
      </c>
      <c r="B454" s="176" t="s">
        <v>434</v>
      </c>
      <c r="C454" s="25">
        <v>5061588597</v>
      </c>
      <c r="D454" s="188">
        <v>30039</v>
      </c>
      <c r="E454" s="23" t="s">
        <v>1703</v>
      </c>
      <c r="F454" s="23" t="s">
        <v>10</v>
      </c>
      <c r="G454" s="188"/>
      <c r="H454" s="176" t="s">
        <v>918</v>
      </c>
      <c r="I454" s="176" t="s">
        <v>434</v>
      </c>
      <c r="J454" s="25">
        <v>5061588597</v>
      </c>
      <c r="K454" s="188">
        <v>30039</v>
      </c>
      <c r="L454" s="23" t="s">
        <v>1703</v>
      </c>
      <c r="M454" s="23" t="s">
        <v>10</v>
      </c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</row>
    <row r="455" spans="1:31" x14ac:dyDescent="0.3">
      <c r="A455" s="176" t="s">
        <v>919</v>
      </c>
      <c r="B455" s="176" t="s">
        <v>920</v>
      </c>
      <c r="C455" s="25">
        <v>2081575684</v>
      </c>
      <c r="D455" s="188">
        <v>29379</v>
      </c>
      <c r="E455" s="23" t="s">
        <v>1704</v>
      </c>
      <c r="F455" s="23" t="s">
        <v>10</v>
      </c>
      <c r="G455" s="188"/>
      <c r="H455" s="176" t="s">
        <v>919</v>
      </c>
      <c r="I455" s="176" t="s">
        <v>920</v>
      </c>
      <c r="J455" s="25">
        <v>2081575684</v>
      </c>
      <c r="K455" s="188">
        <v>29379</v>
      </c>
      <c r="L455" s="23" t="s">
        <v>1704</v>
      </c>
      <c r="M455" s="23" t="s">
        <v>10</v>
      </c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</row>
    <row r="456" spans="1:31" x14ac:dyDescent="0.3">
      <c r="A456" s="176" t="s">
        <v>921</v>
      </c>
      <c r="B456" s="176" t="s">
        <v>922</v>
      </c>
      <c r="C456" s="25">
        <v>2016069116</v>
      </c>
      <c r="D456" s="188">
        <v>35625</v>
      </c>
      <c r="E456" s="23" t="s">
        <v>1705</v>
      </c>
      <c r="F456" s="23" t="s">
        <v>33</v>
      </c>
      <c r="G456" s="188"/>
      <c r="H456" s="176" t="s">
        <v>921</v>
      </c>
      <c r="I456" s="176" t="s">
        <v>922</v>
      </c>
      <c r="J456" s="25">
        <v>2016069116</v>
      </c>
      <c r="K456" s="188">
        <v>35625</v>
      </c>
      <c r="L456" s="23" t="s">
        <v>1705</v>
      </c>
      <c r="M456" s="23" t="s">
        <v>33</v>
      </c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</row>
    <row r="457" spans="1:31" x14ac:dyDescent="0.3">
      <c r="A457" s="176" t="s">
        <v>923</v>
      </c>
      <c r="B457" s="176" t="s">
        <v>924</v>
      </c>
      <c r="C457" s="25">
        <v>4164919418</v>
      </c>
      <c r="D457" s="188">
        <v>29487</v>
      </c>
      <c r="E457" s="23" t="s">
        <v>1706</v>
      </c>
      <c r="F457" s="23" t="s">
        <v>6</v>
      </c>
      <c r="G457" s="188"/>
      <c r="H457" s="176" t="s">
        <v>923</v>
      </c>
      <c r="I457" s="176" t="s">
        <v>924</v>
      </c>
      <c r="J457" s="25">
        <v>4164919418</v>
      </c>
      <c r="K457" s="188">
        <v>29487</v>
      </c>
      <c r="L457" s="23" t="s">
        <v>1706</v>
      </c>
      <c r="M457" s="23" t="s">
        <v>6</v>
      </c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</row>
    <row r="458" spans="1:31" x14ac:dyDescent="0.3">
      <c r="A458" s="176" t="s">
        <v>925</v>
      </c>
      <c r="B458" s="176" t="s">
        <v>926</v>
      </c>
      <c r="C458" s="25">
        <v>3135227751</v>
      </c>
      <c r="D458" s="188">
        <v>28537</v>
      </c>
      <c r="E458" s="23" t="s">
        <v>1707</v>
      </c>
      <c r="F458" s="23" t="s">
        <v>33</v>
      </c>
      <c r="G458" s="188"/>
      <c r="H458" s="176" t="s">
        <v>925</v>
      </c>
      <c r="I458" s="176" t="s">
        <v>926</v>
      </c>
      <c r="J458" s="25">
        <v>3135227751</v>
      </c>
      <c r="K458" s="188">
        <v>28537</v>
      </c>
      <c r="L458" s="23" t="s">
        <v>1707</v>
      </c>
      <c r="M458" s="23" t="s">
        <v>33</v>
      </c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</row>
    <row r="459" spans="1:31" x14ac:dyDescent="0.3">
      <c r="A459" s="176" t="s">
        <v>927</v>
      </c>
      <c r="B459" s="176" t="s">
        <v>928</v>
      </c>
      <c r="C459" s="25">
        <v>2094713634</v>
      </c>
      <c r="D459" s="188">
        <v>30367</v>
      </c>
      <c r="E459" s="23" t="s">
        <v>1708</v>
      </c>
      <c r="F459" s="23" t="s">
        <v>10</v>
      </c>
      <c r="G459" s="188"/>
      <c r="H459" s="176" t="s">
        <v>927</v>
      </c>
      <c r="I459" s="176" t="s">
        <v>928</v>
      </c>
      <c r="J459" s="25">
        <v>2094713634</v>
      </c>
      <c r="K459" s="188">
        <v>30367</v>
      </c>
      <c r="L459" s="23" t="s">
        <v>1708</v>
      </c>
      <c r="M459" s="23" t="s">
        <v>10</v>
      </c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</row>
    <row r="460" spans="1:31" x14ac:dyDescent="0.3">
      <c r="A460" s="176" t="s">
        <v>929</v>
      </c>
      <c r="B460" s="176" t="s">
        <v>930</v>
      </c>
      <c r="C460" s="25">
        <v>7184900864</v>
      </c>
      <c r="D460" s="188">
        <v>31933</v>
      </c>
      <c r="E460" s="23" t="s">
        <v>1709</v>
      </c>
      <c r="F460" s="23" t="s">
        <v>6</v>
      </c>
      <c r="G460" s="188"/>
      <c r="H460" s="176" t="s">
        <v>929</v>
      </c>
      <c r="I460" s="176" t="s">
        <v>930</v>
      </c>
      <c r="J460" s="25">
        <v>7184900864</v>
      </c>
      <c r="K460" s="188">
        <v>31933</v>
      </c>
      <c r="L460" s="23" t="s">
        <v>1709</v>
      </c>
      <c r="M460" s="23" t="s">
        <v>6</v>
      </c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</row>
    <row r="461" spans="1:31" x14ac:dyDescent="0.3">
      <c r="A461" s="176" t="s">
        <v>931</v>
      </c>
      <c r="B461" s="176" t="s">
        <v>423</v>
      </c>
      <c r="C461" s="25">
        <v>6065368383</v>
      </c>
      <c r="D461" s="188">
        <v>32417</v>
      </c>
      <c r="E461" s="23" t="s">
        <v>1710</v>
      </c>
      <c r="F461" s="23" t="s">
        <v>10</v>
      </c>
      <c r="G461" s="188"/>
      <c r="H461" s="176" t="s">
        <v>931</v>
      </c>
      <c r="I461" s="176" t="s">
        <v>423</v>
      </c>
      <c r="J461" s="25">
        <v>6065368383</v>
      </c>
      <c r="K461" s="188">
        <v>32417</v>
      </c>
      <c r="L461" s="23" t="s">
        <v>1710</v>
      </c>
      <c r="M461" s="23" t="s">
        <v>10</v>
      </c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</row>
    <row r="462" spans="1:31" x14ac:dyDescent="0.3">
      <c r="A462" s="176" t="s">
        <v>932</v>
      </c>
      <c r="B462" s="176" t="s">
        <v>933</v>
      </c>
      <c r="C462" s="25">
        <v>6042787318</v>
      </c>
      <c r="D462" s="188">
        <v>32648</v>
      </c>
      <c r="E462" s="23" t="s">
        <v>1711</v>
      </c>
      <c r="F462" s="23" t="s">
        <v>18</v>
      </c>
      <c r="G462" s="188"/>
      <c r="H462" s="176" t="s">
        <v>932</v>
      </c>
      <c r="I462" s="176" t="s">
        <v>933</v>
      </c>
      <c r="J462" s="25">
        <v>6042787318</v>
      </c>
      <c r="K462" s="188">
        <v>32648</v>
      </c>
      <c r="L462" s="23" t="s">
        <v>1711</v>
      </c>
      <c r="M462" s="23" t="s">
        <v>18</v>
      </c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</row>
    <row r="463" spans="1:31" x14ac:dyDescent="0.3">
      <c r="A463" s="176" t="s">
        <v>934</v>
      </c>
      <c r="B463" s="176" t="s">
        <v>413</v>
      </c>
      <c r="C463" s="25">
        <v>7155790872</v>
      </c>
      <c r="D463" s="188">
        <v>32663</v>
      </c>
      <c r="E463" s="23" t="s">
        <v>1712</v>
      </c>
      <c r="F463" s="23" t="s">
        <v>10</v>
      </c>
      <c r="G463" s="188"/>
      <c r="H463" s="176" t="s">
        <v>934</v>
      </c>
      <c r="I463" s="176" t="s">
        <v>413</v>
      </c>
      <c r="J463" s="25">
        <v>7155790872</v>
      </c>
      <c r="K463" s="188">
        <v>32663</v>
      </c>
      <c r="L463" s="23" t="s">
        <v>1712</v>
      </c>
      <c r="M463" s="23" t="s">
        <v>10</v>
      </c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</row>
    <row r="464" spans="1:31" x14ac:dyDescent="0.3">
      <c r="A464" s="176" t="s">
        <v>935</v>
      </c>
      <c r="B464" s="176" t="s">
        <v>646</v>
      </c>
      <c r="C464" s="25">
        <v>5122153322</v>
      </c>
      <c r="D464" s="188">
        <v>32789</v>
      </c>
      <c r="E464" s="23" t="s">
        <v>1713</v>
      </c>
      <c r="F464" s="23" t="s">
        <v>10</v>
      </c>
      <c r="G464" s="188"/>
      <c r="H464" s="176" t="s">
        <v>935</v>
      </c>
      <c r="I464" s="176" t="s">
        <v>646</v>
      </c>
      <c r="J464" s="25">
        <v>5122153322</v>
      </c>
      <c r="K464" s="188">
        <v>32789</v>
      </c>
      <c r="L464" s="23" t="s">
        <v>1713</v>
      </c>
      <c r="M464" s="23" t="s">
        <v>10</v>
      </c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</row>
    <row r="465" spans="1:31" x14ac:dyDescent="0.3">
      <c r="A465" s="176" t="s">
        <v>936</v>
      </c>
      <c r="B465" s="176" t="s">
        <v>937</v>
      </c>
      <c r="C465" s="25">
        <v>6061525844</v>
      </c>
      <c r="D465" s="188">
        <v>30152</v>
      </c>
      <c r="E465" s="23" t="s">
        <v>1714</v>
      </c>
      <c r="F465" s="23" t="s">
        <v>10</v>
      </c>
      <c r="G465" s="188"/>
      <c r="H465" s="176" t="s">
        <v>936</v>
      </c>
      <c r="I465" s="176" t="s">
        <v>937</v>
      </c>
      <c r="J465" s="25">
        <v>6061525844</v>
      </c>
      <c r="K465" s="188">
        <v>30152</v>
      </c>
      <c r="L465" s="23" t="s">
        <v>1714</v>
      </c>
      <c r="M465" s="23" t="s">
        <v>10</v>
      </c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</row>
    <row r="466" spans="1:31" x14ac:dyDescent="0.3">
      <c r="A466" s="176" t="s">
        <v>938</v>
      </c>
      <c r="B466" s="176" t="s">
        <v>395</v>
      </c>
      <c r="C466" s="25">
        <v>4186712695</v>
      </c>
      <c r="D466" s="188">
        <v>33961</v>
      </c>
      <c r="E466" s="23" t="s">
        <v>1715</v>
      </c>
      <c r="F466" s="23" t="s">
        <v>10</v>
      </c>
      <c r="G466" s="188"/>
      <c r="H466" s="176" t="s">
        <v>938</v>
      </c>
      <c r="I466" s="176" t="s">
        <v>395</v>
      </c>
      <c r="J466" s="25">
        <v>4186712695</v>
      </c>
      <c r="K466" s="188">
        <v>33961</v>
      </c>
      <c r="L466" s="23" t="s">
        <v>1715</v>
      </c>
      <c r="M466" s="23" t="s">
        <v>10</v>
      </c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</row>
    <row r="467" spans="1:31" x14ac:dyDescent="0.3">
      <c r="A467" s="176" t="s">
        <v>939</v>
      </c>
      <c r="B467" s="176" t="s">
        <v>940</v>
      </c>
      <c r="C467" s="25">
        <v>9144084456</v>
      </c>
      <c r="D467" s="188">
        <v>28848</v>
      </c>
      <c r="E467" s="23" t="s">
        <v>1716</v>
      </c>
      <c r="F467" s="23" t="s">
        <v>6</v>
      </c>
      <c r="G467" s="188"/>
      <c r="H467" s="176" t="s">
        <v>939</v>
      </c>
      <c r="I467" s="176" t="s">
        <v>940</v>
      </c>
      <c r="J467" s="25">
        <v>9144084456</v>
      </c>
      <c r="K467" s="188">
        <v>28848</v>
      </c>
      <c r="L467" s="23" t="s">
        <v>1716</v>
      </c>
      <c r="M467" s="23" t="s">
        <v>6</v>
      </c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</row>
    <row r="468" spans="1:31" x14ac:dyDescent="0.3">
      <c r="A468" s="176" t="s">
        <v>941</v>
      </c>
      <c r="B468" s="176" t="s">
        <v>942</v>
      </c>
      <c r="C468" s="25">
        <v>2078444054</v>
      </c>
      <c r="D468" s="188">
        <v>30631</v>
      </c>
      <c r="E468" s="23" t="s">
        <v>1717</v>
      </c>
      <c r="F468" s="23" t="s">
        <v>10</v>
      </c>
      <c r="G468" s="188"/>
      <c r="H468" s="176" t="s">
        <v>941</v>
      </c>
      <c r="I468" s="176" t="s">
        <v>942</v>
      </c>
      <c r="J468" s="25">
        <v>2078444054</v>
      </c>
      <c r="K468" s="188">
        <v>30631</v>
      </c>
      <c r="L468" s="23" t="s">
        <v>1717</v>
      </c>
      <c r="M468" s="23" t="s">
        <v>10</v>
      </c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</row>
    <row r="469" spans="1:31" x14ac:dyDescent="0.3">
      <c r="A469" s="176" t="s">
        <v>943</v>
      </c>
      <c r="B469" s="176" t="s">
        <v>944</v>
      </c>
      <c r="C469" s="25">
        <v>9067803578</v>
      </c>
      <c r="D469" s="188">
        <v>28311</v>
      </c>
      <c r="E469" s="23" t="s">
        <v>1718</v>
      </c>
      <c r="F469" s="23" t="s">
        <v>10</v>
      </c>
      <c r="G469" s="188"/>
      <c r="H469" s="176" t="s">
        <v>943</v>
      </c>
      <c r="I469" s="176" t="s">
        <v>944</v>
      </c>
      <c r="J469" s="25">
        <v>9067803578</v>
      </c>
      <c r="K469" s="188">
        <v>28311</v>
      </c>
      <c r="L469" s="23" t="s">
        <v>1718</v>
      </c>
      <c r="M469" s="23" t="s">
        <v>10</v>
      </c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</row>
    <row r="470" spans="1:31" x14ac:dyDescent="0.3">
      <c r="A470" s="176" t="s">
        <v>945</v>
      </c>
      <c r="B470" s="176" t="s">
        <v>405</v>
      </c>
      <c r="C470" s="25">
        <v>4195594427</v>
      </c>
      <c r="D470" s="188">
        <v>29702</v>
      </c>
      <c r="E470" s="23" t="s">
        <v>1719</v>
      </c>
      <c r="F470" s="23" t="s">
        <v>6</v>
      </c>
      <c r="G470" s="188"/>
      <c r="H470" s="176" t="s">
        <v>945</v>
      </c>
      <c r="I470" s="176" t="s">
        <v>405</v>
      </c>
      <c r="J470" s="25">
        <v>4195594427</v>
      </c>
      <c r="K470" s="188">
        <v>29702</v>
      </c>
      <c r="L470" s="23" t="s">
        <v>1719</v>
      </c>
      <c r="M470" s="23" t="s">
        <v>6</v>
      </c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</row>
    <row r="471" spans="1:31" x14ac:dyDescent="0.3">
      <c r="A471" s="176" t="s">
        <v>946</v>
      </c>
      <c r="B471" s="176" t="s">
        <v>453</v>
      </c>
      <c r="C471" s="25">
        <v>7136699611</v>
      </c>
      <c r="D471" s="188">
        <v>32694</v>
      </c>
      <c r="E471" s="23" t="s">
        <v>1269</v>
      </c>
      <c r="F471" s="23" t="s">
        <v>6</v>
      </c>
      <c r="G471" s="188"/>
      <c r="H471" s="176" t="s">
        <v>946</v>
      </c>
      <c r="I471" s="176" t="s">
        <v>453</v>
      </c>
      <c r="J471" s="25">
        <v>7136699611</v>
      </c>
      <c r="K471" s="188">
        <v>32694</v>
      </c>
      <c r="L471" s="23" t="s">
        <v>1269</v>
      </c>
      <c r="M471" s="23" t="s">
        <v>6</v>
      </c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</row>
    <row r="472" spans="1:31" x14ac:dyDescent="0.3">
      <c r="A472" s="176" t="s">
        <v>947</v>
      </c>
      <c r="B472" s="176" t="s">
        <v>580</v>
      </c>
      <c r="C472" s="25">
        <v>7151155509</v>
      </c>
      <c r="D472" s="188">
        <v>27859</v>
      </c>
      <c r="E472" s="23" t="s">
        <v>1720</v>
      </c>
      <c r="F472" s="23" t="s">
        <v>10</v>
      </c>
      <c r="G472" s="188"/>
      <c r="H472" s="176" t="s">
        <v>947</v>
      </c>
      <c r="I472" s="176" t="s">
        <v>580</v>
      </c>
      <c r="J472" s="25">
        <v>7151155509</v>
      </c>
      <c r="K472" s="188">
        <v>27859</v>
      </c>
      <c r="L472" s="23" t="s">
        <v>1720</v>
      </c>
      <c r="M472" s="23" t="s">
        <v>10</v>
      </c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</row>
    <row r="473" spans="1:31" x14ac:dyDescent="0.3">
      <c r="A473" s="176" t="s">
        <v>948</v>
      </c>
      <c r="B473" s="176" t="s">
        <v>279</v>
      </c>
      <c r="C473" s="25">
        <v>3023392642</v>
      </c>
      <c r="D473" s="188">
        <v>27858</v>
      </c>
      <c r="E473" s="23" t="s">
        <v>1721</v>
      </c>
      <c r="F473" s="23" t="s">
        <v>6</v>
      </c>
      <c r="G473" s="188"/>
      <c r="H473" s="176" t="s">
        <v>948</v>
      </c>
      <c r="I473" s="176" t="s">
        <v>279</v>
      </c>
      <c r="J473" s="25">
        <v>3023392642</v>
      </c>
      <c r="K473" s="188">
        <v>27858</v>
      </c>
      <c r="L473" s="23" t="s">
        <v>1721</v>
      </c>
      <c r="M473" s="23" t="s">
        <v>6</v>
      </c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</row>
    <row r="474" spans="1:31" x14ac:dyDescent="0.3">
      <c r="A474" s="176" t="s">
        <v>949</v>
      </c>
      <c r="B474" s="176" t="s">
        <v>657</v>
      </c>
      <c r="C474" s="25">
        <v>3033122083</v>
      </c>
      <c r="D474" s="188">
        <v>35747</v>
      </c>
      <c r="E474" s="23" t="s">
        <v>1722</v>
      </c>
      <c r="F474" s="23" t="s">
        <v>18</v>
      </c>
      <c r="G474" s="188"/>
      <c r="H474" s="176" t="s">
        <v>949</v>
      </c>
      <c r="I474" s="176" t="s">
        <v>657</v>
      </c>
      <c r="J474" s="25">
        <v>3033122083</v>
      </c>
      <c r="K474" s="188">
        <v>35747</v>
      </c>
      <c r="L474" s="23" t="s">
        <v>1722</v>
      </c>
      <c r="M474" s="23" t="s">
        <v>18</v>
      </c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</row>
    <row r="475" spans="1:31" x14ac:dyDescent="0.3">
      <c r="A475" s="176" t="s">
        <v>950</v>
      </c>
      <c r="B475" s="176" t="s">
        <v>405</v>
      </c>
      <c r="C475" s="25">
        <v>7137560634</v>
      </c>
      <c r="D475" s="188">
        <v>29671</v>
      </c>
      <c r="E475" s="23" t="s">
        <v>1723</v>
      </c>
      <c r="F475" s="23" t="s">
        <v>10</v>
      </c>
      <c r="G475" s="188"/>
      <c r="H475" s="176" t="s">
        <v>950</v>
      </c>
      <c r="I475" s="176" t="s">
        <v>405</v>
      </c>
      <c r="J475" s="25">
        <v>7137560634</v>
      </c>
      <c r="K475" s="188">
        <v>29671</v>
      </c>
      <c r="L475" s="23" t="s">
        <v>1723</v>
      </c>
      <c r="M475" s="23" t="s">
        <v>10</v>
      </c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</row>
    <row r="476" spans="1:31" x14ac:dyDescent="0.3">
      <c r="A476" s="176" t="s">
        <v>951</v>
      </c>
      <c r="B476" s="176" t="s">
        <v>589</v>
      </c>
      <c r="C476" s="25">
        <v>8064518022</v>
      </c>
      <c r="D476" s="188">
        <v>35708</v>
      </c>
      <c r="E476" s="23" t="s">
        <v>1724</v>
      </c>
      <c r="F476" s="23" t="s">
        <v>10</v>
      </c>
      <c r="G476" s="188"/>
      <c r="H476" s="176" t="s">
        <v>951</v>
      </c>
      <c r="I476" s="176" t="s">
        <v>589</v>
      </c>
      <c r="J476" s="25">
        <v>8064518022</v>
      </c>
      <c r="K476" s="188">
        <v>35708</v>
      </c>
      <c r="L476" s="23" t="s">
        <v>1724</v>
      </c>
      <c r="M476" s="23" t="s">
        <v>10</v>
      </c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</row>
    <row r="477" spans="1:31" x14ac:dyDescent="0.3">
      <c r="A477" s="176" t="s">
        <v>952</v>
      </c>
      <c r="B477" s="176" t="s">
        <v>516</v>
      </c>
      <c r="C477" s="25">
        <v>6164907564</v>
      </c>
      <c r="D477" s="188">
        <v>28497</v>
      </c>
      <c r="E477" s="23" t="s">
        <v>1725</v>
      </c>
      <c r="F477" s="23" t="s">
        <v>10</v>
      </c>
      <c r="G477" s="188"/>
      <c r="H477" s="176" t="s">
        <v>952</v>
      </c>
      <c r="I477" s="176" t="s">
        <v>516</v>
      </c>
      <c r="J477" s="25">
        <v>6164907564</v>
      </c>
      <c r="K477" s="188">
        <v>28497</v>
      </c>
      <c r="L477" s="23" t="s">
        <v>1725</v>
      </c>
      <c r="M477" s="23" t="s">
        <v>10</v>
      </c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</row>
    <row r="478" spans="1:31" x14ac:dyDescent="0.3">
      <c r="A478" s="176" t="s">
        <v>953</v>
      </c>
      <c r="B478" s="176" t="s">
        <v>344</v>
      </c>
      <c r="C478" s="25">
        <v>3043766803</v>
      </c>
      <c r="D478" s="188">
        <v>29369</v>
      </c>
      <c r="E478" s="23" t="s">
        <v>1726</v>
      </c>
      <c r="F478" s="23" t="s">
        <v>10</v>
      </c>
      <c r="G478" s="188"/>
      <c r="H478" s="176" t="s">
        <v>953</v>
      </c>
      <c r="I478" s="176" t="s">
        <v>344</v>
      </c>
      <c r="J478" s="25">
        <v>3043766803</v>
      </c>
      <c r="K478" s="188">
        <v>29369</v>
      </c>
      <c r="L478" s="23" t="s">
        <v>1726</v>
      </c>
      <c r="M478" s="23" t="s">
        <v>10</v>
      </c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</row>
    <row r="479" spans="1:31" x14ac:dyDescent="0.3">
      <c r="A479" s="176" t="s">
        <v>954</v>
      </c>
      <c r="B479" s="176" t="s">
        <v>395</v>
      </c>
      <c r="C479" s="25">
        <v>9022244880</v>
      </c>
      <c r="D479" s="188">
        <v>29787</v>
      </c>
      <c r="E479" s="23" t="s">
        <v>1727</v>
      </c>
      <c r="F479" s="23" t="s">
        <v>10</v>
      </c>
      <c r="G479" s="188"/>
      <c r="H479" s="176" t="s">
        <v>954</v>
      </c>
      <c r="I479" s="176" t="s">
        <v>395</v>
      </c>
      <c r="J479" s="25">
        <v>9022244880</v>
      </c>
      <c r="K479" s="188">
        <v>29787</v>
      </c>
      <c r="L479" s="23" t="s">
        <v>1727</v>
      </c>
      <c r="M479" s="23" t="s">
        <v>10</v>
      </c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</row>
    <row r="480" spans="1:31" x14ac:dyDescent="0.3">
      <c r="A480" s="176" t="s">
        <v>955</v>
      </c>
      <c r="B480" s="176" t="s">
        <v>956</v>
      </c>
      <c r="C480" s="25">
        <v>2196129939</v>
      </c>
      <c r="D480" s="188">
        <v>35194</v>
      </c>
      <c r="E480" s="23" t="s">
        <v>1728</v>
      </c>
      <c r="F480" s="23" t="s">
        <v>10</v>
      </c>
      <c r="G480" s="188"/>
      <c r="H480" s="176" t="s">
        <v>955</v>
      </c>
      <c r="I480" s="176" t="s">
        <v>956</v>
      </c>
      <c r="J480" s="25">
        <v>2196129939</v>
      </c>
      <c r="K480" s="188">
        <v>35194</v>
      </c>
      <c r="L480" s="23" t="s">
        <v>1728</v>
      </c>
      <c r="M480" s="23" t="s">
        <v>10</v>
      </c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</row>
    <row r="481" spans="1:31" x14ac:dyDescent="0.3">
      <c r="A481" s="176" t="s">
        <v>957</v>
      </c>
      <c r="B481" s="176" t="s">
        <v>322</v>
      </c>
      <c r="C481" s="25">
        <v>2075442791</v>
      </c>
      <c r="D481" s="188">
        <v>28025</v>
      </c>
      <c r="E481" s="23" t="s">
        <v>1729</v>
      </c>
      <c r="F481" s="23" t="s">
        <v>10</v>
      </c>
      <c r="G481" s="188"/>
      <c r="H481" s="176" t="s">
        <v>957</v>
      </c>
      <c r="I481" s="176" t="s">
        <v>322</v>
      </c>
      <c r="J481" s="25">
        <v>2075442791</v>
      </c>
      <c r="K481" s="188">
        <v>28025</v>
      </c>
      <c r="L481" s="23" t="s">
        <v>1729</v>
      </c>
      <c r="M481" s="23" t="s">
        <v>10</v>
      </c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</row>
    <row r="482" spans="1:31" x14ac:dyDescent="0.3">
      <c r="A482" s="176" t="s">
        <v>958</v>
      </c>
      <c r="B482" s="176" t="s">
        <v>959</v>
      </c>
      <c r="C482" s="25">
        <v>9146778600</v>
      </c>
      <c r="D482" s="188">
        <v>27920</v>
      </c>
      <c r="E482" s="23" t="s">
        <v>1730</v>
      </c>
      <c r="F482" s="23" t="s">
        <v>10</v>
      </c>
      <c r="G482" s="188"/>
      <c r="H482" s="176" t="s">
        <v>958</v>
      </c>
      <c r="I482" s="176" t="s">
        <v>959</v>
      </c>
      <c r="J482" s="25">
        <v>9146778600</v>
      </c>
      <c r="K482" s="188">
        <v>27920</v>
      </c>
      <c r="L482" s="23" t="s">
        <v>1730</v>
      </c>
      <c r="M482" s="23" t="s">
        <v>10</v>
      </c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</row>
    <row r="483" spans="1:31" x14ac:dyDescent="0.3">
      <c r="A483" s="176" t="s">
        <v>960</v>
      </c>
      <c r="B483" s="176" t="s">
        <v>961</v>
      </c>
      <c r="C483" s="25">
        <v>5117692593</v>
      </c>
      <c r="D483" s="188">
        <v>28613</v>
      </c>
      <c r="E483" s="23" t="s">
        <v>1731</v>
      </c>
      <c r="F483" s="23" t="s">
        <v>10</v>
      </c>
      <c r="G483" s="188"/>
      <c r="H483" s="176" t="s">
        <v>960</v>
      </c>
      <c r="I483" s="176" t="s">
        <v>961</v>
      </c>
      <c r="J483" s="25">
        <v>5117692593</v>
      </c>
      <c r="K483" s="188">
        <v>28613</v>
      </c>
      <c r="L483" s="23" t="s">
        <v>1731</v>
      </c>
      <c r="M483" s="23" t="s">
        <v>10</v>
      </c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</row>
    <row r="484" spans="1:31" x14ac:dyDescent="0.3">
      <c r="A484" s="176" t="s">
        <v>962</v>
      </c>
      <c r="B484" s="176" t="s">
        <v>712</v>
      </c>
      <c r="C484" s="25">
        <v>5048560698</v>
      </c>
      <c r="D484" s="188">
        <v>28933</v>
      </c>
      <c r="E484" s="23" t="s">
        <v>1732</v>
      </c>
      <c r="F484" s="23" t="s">
        <v>6</v>
      </c>
      <c r="G484" s="188"/>
      <c r="H484" s="176" t="s">
        <v>962</v>
      </c>
      <c r="I484" s="176" t="s">
        <v>712</v>
      </c>
      <c r="J484" s="25">
        <v>5048560698</v>
      </c>
      <c r="K484" s="188">
        <v>28933</v>
      </c>
      <c r="L484" s="23" t="s">
        <v>1732</v>
      </c>
      <c r="M484" s="23" t="s">
        <v>6</v>
      </c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</row>
    <row r="485" spans="1:31" x14ac:dyDescent="0.3">
      <c r="A485" s="176" t="s">
        <v>963</v>
      </c>
      <c r="B485" s="176" t="s">
        <v>732</v>
      </c>
      <c r="C485" s="25">
        <v>6066088101</v>
      </c>
      <c r="D485" s="188">
        <v>29787</v>
      </c>
      <c r="E485" s="23" t="s">
        <v>1733</v>
      </c>
      <c r="F485" s="23" t="s">
        <v>18</v>
      </c>
      <c r="G485" s="188"/>
      <c r="H485" s="176" t="s">
        <v>963</v>
      </c>
      <c r="I485" s="176" t="s">
        <v>732</v>
      </c>
      <c r="J485" s="25">
        <v>6066088101</v>
      </c>
      <c r="K485" s="188">
        <v>29787</v>
      </c>
      <c r="L485" s="23" t="s">
        <v>1733</v>
      </c>
      <c r="M485" s="23" t="s">
        <v>18</v>
      </c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</row>
    <row r="486" spans="1:31" x14ac:dyDescent="0.3">
      <c r="A486" s="176" t="s">
        <v>964</v>
      </c>
      <c r="B486" s="176" t="s">
        <v>613</v>
      </c>
      <c r="C486" s="25">
        <v>5193936198</v>
      </c>
      <c r="D486" s="188">
        <v>30496</v>
      </c>
      <c r="E486" s="23" t="s">
        <v>1734</v>
      </c>
      <c r="F486" s="23" t="s">
        <v>33</v>
      </c>
      <c r="G486" s="188"/>
      <c r="H486" s="176" t="s">
        <v>964</v>
      </c>
      <c r="I486" s="176" t="s">
        <v>613</v>
      </c>
      <c r="J486" s="25">
        <v>5193936198</v>
      </c>
      <c r="K486" s="188">
        <v>30496</v>
      </c>
      <c r="L486" s="23" t="s">
        <v>1734</v>
      </c>
      <c r="M486" s="23" t="s">
        <v>33</v>
      </c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</row>
    <row r="487" spans="1:31" x14ac:dyDescent="0.3">
      <c r="A487" s="176" t="s">
        <v>965</v>
      </c>
      <c r="B487" s="176" t="s">
        <v>344</v>
      </c>
      <c r="C487" s="25">
        <v>6084562999</v>
      </c>
      <c r="D487" s="188">
        <v>34693</v>
      </c>
      <c r="E487" s="23" t="s">
        <v>1735</v>
      </c>
      <c r="F487" s="23" t="s">
        <v>18</v>
      </c>
      <c r="G487" s="188"/>
      <c r="H487" s="176" t="s">
        <v>965</v>
      </c>
      <c r="I487" s="176" t="s">
        <v>344</v>
      </c>
      <c r="J487" s="25">
        <v>6084562999</v>
      </c>
      <c r="K487" s="188">
        <v>34693</v>
      </c>
      <c r="L487" s="23" t="s">
        <v>1735</v>
      </c>
      <c r="M487" s="23" t="s">
        <v>18</v>
      </c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</row>
    <row r="488" spans="1:31" x14ac:dyDescent="0.3">
      <c r="A488" s="176" t="s">
        <v>966</v>
      </c>
      <c r="B488" s="176" t="s">
        <v>405</v>
      </c>
      <c r="C488" s="25">
        <v>4183498222</v>
      </c>
      <c r="D488" s="188">
        <v>29899</v>
      </c>
      <c r="E488" s="23" t="s">
        <v>1736</v>
      </c>
      <c r="F488" s="23" t="s">
        <v>6</v>
      </c>
      <c r="G488" s="188"/>
      <c r="H488" s="176" t="s">
        <v>966</v>
      </c>
      <c r="I488" s="176" t="s">
        <v>405</v>
      </c>
      <c r="J488" s="25">
        <v>4183498222</v>
      </c>
      <c r="K488" s="188">
        <v>29899</v>
      </c>
      <c r="L488" s="23" t="s">
        <v>1736</v>
      </c>
      <c r="M488" s="23" t="s">
        <v>6</v>
      </c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</row>
    <row r="489" spans="1:31" x14ac:dyDescent="0.3">
      <c r="A489" s="176" t="s">
        <v>967</v>
      </c>
      <c r="B489" s="176" t="s">
        <v>395</v>
      </c>
      <c r="C489" s="25">
        <v>8052380636</v>
      </c>
      <c r="D489" s="188">
        <v>33339</v>
      </c>
      <c r="E489" s="23" t="s">
        <v>1737</v>
      </c>
      <c r="F489" s="23" t="s">
        <v>10</v>
      </c>
      <c r="G489" s="188"/>
      <c r="H489" s="176" t="s">
        <v>967</v>
      </c>
      <c r="I489" s="176" t="s">
        <v>395</v>
      </c>
      <c r="J489" s="25">
        <v>8052380636</v>
      </c>
      <c r="K489" s="188">
        <v>33339</v>
      </c>
      <c r="L489" s="23" t="s">
        <v>1737</v>
      </c>
      <c r="M489" s="23" t="s">
        <v>10</v>
      </c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</row>
    <row r="490" spans="1:31" x14ac:dyDescent="0.3">
      <c r="A490" s="176" t="s">
        <v>968</v>
      </c>
      <c r="B490" s="176" t="s">
        <v>969</v>
      </c>
      <c r="C490" s="25">
        <v>6096098293</v>
      </c>
      <c r="D490" s="188">
        <v>34836</v>
      </c>
      <c r="E490" s="23" t="s">
        <v>1738</v>
      </c>
      <c r="F490" s="23" t="s">
        <v>33</v>
      </c>
      <c r="G490" s="188"/>
      <c r="H490" s="176" t="s">
        <v>968</v>
      </c>
      <c r="I490" s="176" t="s">
        <v>969</v>
      </c>
      <c r="J490" s="25">
        <v>6096098293</v>
      </c>
      <c r="K490" s="188">
        <v>34836</v>
      </c>
      <c r="L490" s="23" t="s">
        <v>1738</v>
      </c>
      <c r="M490" s="23" t="s">
        <v>33</v>
      </c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</row>
    <row r="491" spans="1:31" x14ac:dyDescent="0.3">
      <c r="A491" s="176" t="s">
        <v>970</v>
      </c>
      <c r="B491" s="176" t="s">
        <v>283</v>
      </c>
      <c r="C491" s="25">
        <v>6145866887</v>
      </c>
      <c r="D491" s="188">
        <v>30039</v>
      </c>
      <c r="E491" s="23" t="s">
        <v>1739</v>
      </c>
      <c r="F491" s="23" t="s">
        <v>10</v>
      </c>
      <c r="G491" s="188"/>
      <c r="H491" s="176" t="s">
        <v>970</v>
      </c>
      <c r="I491" s="176" t="s">
        <v>283</v>
      </c>
      <c r="J491" s="25">
        <v>6145866887</v>
      </c>
      <c r="K491" s="188">
        <v>30039</v>
      </c>
      <c r="L491" s="23" t="s">
        <v>1739</v>
      </c>
      <c r="M491" s="23" t="s">
        <v>10</v>
      </c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</row>
    <row r="492" spans="1:31" x14ac:dyDescent="0.3">
      <c r="A492" s="176" t="s">
        <v>971</v>
      </c>
      <c r="B492" s="176" t="s">
        <v>972</v>
      </c>
      <c r="C492" s="25">
        <v>6082604602</v>
      </c>
      <c r="D492" s="188">
        <v>29379</v>
      </c>
      <c r="E492" s="23" t="s">
        <v>1740</v>
      </c>
      <c r="F492" s="23" t="s">
        <v>10</v>
      </c>
      <c r="G492" s="188"/>
      <c r="H492" s="176" t="s">
        <v>971</v>
      </c>
      <c r="I492" s="176" t="s">
        <v>972</v>
      </c>
      <c r="J492" s="25">
        <v>6082604602</v>
      </c>
      <c r="K492" s="188">
        <v>29379</v>
      </c>
      <c r="L492" s="23" t="s">
        <v>1740</v>
      </c>
      <c r="M492" s="23" t="s">
        <v>10</v>
      </c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</row>
    <row r="493" spans="1:31" x14ac:dyDescent="0.3">
      <c r="A493" s="176" t="s">
        <v>973</v>
      </c>
      <c r="B493" s="176" t="s">
        <v>577</v>
      </c>
      <c r="C493" s="25">
        <v>5198006736</v>
      </c>
      <c r="D493" s="188">
        <v>35625</v>
      </c>
      <c r="E493" s="23" t="s">
        <v>1741</v>
      </c>
      <c r="F493" s="23" t="s">
        <v>10</v>
      </c>
      <c r="G493" s="188"/>
      <c r="H493" s="176" t="s">
        <v>973</v>
      </c>
      <c r="I493" s="176" t="s">
        <v>577</v>
      </c>
      <c r="J493" s="25">
        <v>5198006736</v>
      </c>
      <c r="K493" s="188">
        <v>35625</v>
      </c>
      <c r="L493" s="23" t="s">
        <v>1741</v>
      </c>
      <c r="M493" s="23" t="s">
        <v>10</v>
      </c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</row>
    <row r="494" spans="1:31" x14ac:dyDescent="0.3">
      <c r="A494" s="176" t="s">
        <v>974</v>
      </c>
      <c r="B494" s="176" t="s">
        <v>975</v>
      </c>
      <c r="C494" s="25">
        <v>6063631883</v>
      </c>
      <c r="D494" s="188">
        <v>29487</v>
      </c>
      <c r="E494" s="23" t="s">
        <v>1742</v>
      </c>
      <c r="F494" s="23" t="s">
        <v>18</v>
      </c>
      <c r="G494" s="188"/>
      <c r="H494" s="176" t="s">
        <v>974</v>
      </c>
      <c r="I494" s="176" t="s">
        <v>975</v>
      </c>
      <c r="J494" s="25">
        <v>6063631883</v>
      </c>
      <c r="K494" s="188">
        <v>29487</v>
      </c>
      <c r="L494" s="23" t="s">
        <v>1742</v>
      </c>
      <c r="M494" s="23" t="s">
        <v>18</v>
      </c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</row>
    <row r="495" spans="1:31" x14ac:dyDescent="0.3">
      <c r="A495" s="176" t="s">
        <v>976</v>
      </c>
      <c r="B495" s="176" t="s">
        <v>775</v>
      </c>
      <c r="C495" s="25">
        <v>5161847141</v>
      </c>
      <c r="D495" s="188">
        <v>28537</v>
      </c>
      <c r="E495" s="23" t="s">
        <v>1743</v>
      </c>
      <c r="F495" s="23" t="s">
        <v>33</v>
      </c>
      <c r="G495" s="188"/>
      <c r="H495" s="176" t="s">
        <v>976</v>
      </c>
      <c r="I495" s="176" t="s">
        <v>775</v>
      </c>
      <c r="J495" s="25">
        <v>5161847141</v>
      </c>
      <c r="K495" s="188">
        <v>28537</v>
      </c>
      <c r="L495" s="23" t="s">
        <v>1743</v>
      </c>
      <c r="M495" s="23" t="s">
        <v>33</v>
      </c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</row>
    <row r="496" spans="1:31" x14ac:dyDescent="0.3">
      <c r="A496" s="176" t="s">
        <v>977</v>
      </c>
      <c r="B496" s="176" t="s">
        <v>978</v>
      </c>
      <c r="C496" s="25">
        <v>2021888279</v>
      </c>
      <c r="D496" s="188">
        <v>30367</v>
      </c>
      <c r="E496" s="23" t="s">
        <v>1744</v>
      </c>
      <c r="F496" s="23" t="s">
        <v>10</v>
      </c>
      <c r="G496" s="188"/>
      <c r="H496" s="176" t="s">
        <v>977</v>
      </c>
      <c r="I496" s="176" t="s">
        <v>978</v>
      </c>
      <c r="J496" s="25">
        <v>2021888279</v>
      </c>
      <c r="K496" s="188">
        <v>30367</v>
      </c>
      <c r="L496" s="23" t="s">
        <v>1744</v>
      </c>
      <c r="M496" s="23" t="s">
        <v>10</v>
      </c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</row>
    <row r="497" spans="1:31" x14ac:dyDescent="0.3">
      <c r="A497" s="176" t="s">
        <v>979</v>
      </c>
      <c r="B497" s="176" t="s">
        <v>497</v>
      </c>
      <c r="C497" s="25">
        <v>5073164024</v>
      </c>
      <c r="D497" s="188">
        <v>31933</v>
      </c>
      <c r="E497" s="23" t="s">
        <v>1745</v>
      </c>
      <c r="F497" s="23" t="s">
        <v>10</v>
      </c>
      <c r="G497" s="188"/>
      <c r="H497" s="176" t="s">
        <v>979</v>
      </c>
      <c r="I497" s="176" t="s">
        <v>497</v>
      </c>
      <c r="J497" s="25">
        <v>5073164024</v>
      </c>
      <c r="K497" s="188">
        <v>31933</v>
      </c>
      <c r="L497" s="23" t="s">
        <v>1745</v>
      </c>
      <c r="M497" s="23" t="s">
        <v>10</v>
      </c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</row>
    <row r="498" spans="1:31" x14ac:dyDescent="0.3">
      <c r="A498" s="176" t="s">
        <v>980</v>
      </c>
      <c r="B498" s="176" t="s">
        <v>981</v>
      </c>
      <c r="C498" s="25">
        <v>9135777345</v>
      </c>
      <c r="D498" s="188">
        <v>32417</v>
      </c>
      <c r="E498" s="23" t="s">
        <v>1492</v>
      </c>
      <c r="F498" s="23" t="s">
        <v>6</v>
      </c>
      <c r="G498" s="188"/>
      <c r="H498" s="176" t="s">
        <v>980</v>
      </c>
      <c r="I498" s="176" t="s">
        <v>981</v>
      </c>
      <c r="J498" s="25">
        <v>9135777345</v>
      </c>
      <c r="K498" s="188">
        <v>32417</v>
      </c>
      <c r="L498" s="23" t="s">
        <v>1492</v>
      </c>
      <c r="M498" s="23" t="s">
        <v>6</v>
      </c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</row>
    <row r="499" spans="1:31" x14ac:dyDescent="0.3">
      <c r="A499" s="176" t="s">
        <v>175</v>
      </c>
      <c r="B499" s="176" t="s">
        <v>982</v>
      </c>
      <c r="C499" s="25">
        <v>9132256131</v>
      </c>
      <c r="D499" s="188">
        <v>32648</v>
      </c>
      <c r="E499" s="23" t="s">
        <v>1746</v>
      </c>
      <c r="F499" s="23" t="s">
        <v>10</v>
      </c>
      <c r="G499" s="188"/>
      <c r="H499" s="176" t="s">
        <v>175</v>
      </c>
      <c r="I499" s="176" t="s">
        <v>982</v>
      </c>
      <c r="J499" s="25">
        <v>9132256131</v>
      </c>
      <c r="K499" s="188">
        <v>32648</v>
      </c>
      <c r="L499" s="23" t="s">
        <v>1746</v>
      </c>
      <c r="M499" s="23" t="s">
        <v>10</v>
      </c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</row>
    <row r="500" spans="1:31" x14ac:dyDescent="0.3">
      <c r="A500" s="176" t="s">
        <v>983</v>
      </c>
      <c r="B500" s="176" t="s">
        <v>984</v>
      </c>
      <c r="C500" s="25">
        <v>4052387348</v>
      </c>
      <c r="D500" s="188">
        <v>32663</v>
      </c>
      <c r="E500" s="23" t="s">
        <v>1747</v>
      </c>
      <c r="F500" s="23" t="s">
        <v>33</v>
      </c>
      <c r="G500" s="188"/>
      <c r="H500" s="176" t="s">
        <v>983</v>
      </c>
      <c r="I500" s="176" t="s">
        <v>984</v>
      </c>
      <c r="J500" s="25">
        <v>4052387348</v>
      </c>
      <c r="K500" s="188">
        <v>32663</v>
      </c>
      <c r="L500" s="23" t="s">
        <v>1747</v>
      </c>
      <c r="M500" s="23" t="s">
        <v>33</v>
      </c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</row>
    <row r="501" spans="1:31" x14ac:dyDescent="0.3">
      <c r="A501" s="176" t="s">
        <v>985</v>
      </c>
      <c r="B501" s="176" t="s">
        <v>986</v>
      </c>
      <c r="C501" s="25">
        <v>9024373324</v>
      </c>
      <c r="D501" s="188">
        <v>32789</v>
      </c>
      <c r="E501" s="23" t="s">
        <v>1748</v>
      </c>
      <c r="F501" s="23" t="s">
        <v>10</v>
      </c>
      <c r="G501" s="188"/>
      <c r="H501" s="176" t="s">
        <v>985</v>
      </c>
      <c r="I501" s="176" t="s">
        <v>986</v>
      </c>
      <c r="J501" s="25">
        <v>9024373324</v>
      </c>
      <c r="K501" s="188">
        <v>32789</v>
      </c>
      <c r="L501" s="23" t="s">
        <v>1748</v>
      </c>
      <c r="M501" s="23" t="s">
        <v>10</v>
      </c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</row>
    <row r="502" spans="1:31" x14ac:dyDescent="0.3">
      <c r="A502" s="176" t="s">
        <v>987</v>
      </c>
      <c r="B502" s="176" t="s">
        <v>712</v>
      </c>
      <c r="C502" s="25">
        <v>5168611970</v>
      </c>
      <c r="D502" s="188">
        <v>32694</v>
      </c>
      <c r="E502" s="23" t="s">
        <v>1749</v>
      </c>
      <c r="F502" s="23" t="s">
        <v>18</v>
      </c>
      <c r="G502" s="188"/>
      <c r="H502" s="176" t="s">
        <v>987</v>
      </c>
      <c r="I502" s="176" t="s">
        <v>712</v>
      </c>
      <c r="J502" s="25">
        <v>5168611970</v>
      </c>
      <c r="K502" s="188">
        <v>32694</v>
      </c>
      <c r="L502" s="23" t="s">
        <v>1749</v>
      </c>
      <c r="M502" s="23" t="s">
        <v>18</v>
      </c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</row>
    <row r="503" spans="1:31" x14ac:dyDescent="0.3">
      <c r="A503" s="176" t="s">
        <v>988</v>
      </c>
      <c r="B503" s="176" t="s">
        <v>271</v>
      </c>
      <c r="C503" s="25">
        <v>4132400087</v>
      </c>
      <c r="D503" s="188">
        <v>27859</v>
      </c>
      <c r="E503" s="23" t="s">
        <v>1750</v>
      </c>
      <c r="F503" s="23" t="s">
        <v>6</v>
      </c>
      <c r="G503" s="188"/>
      <c r="H503" s="176" t="s">
        <v>988</v>
      </c>
      <c r="I503" s="176" t="s">
        <v>271</v>
      </c>
      <c r="J503" s="25">
        <v>4132400087</v>
      </c>
      <c r="K503" s="188">
        <v>27859</v>
      </c>
      <c r="L503" s="23" t="s">
        <v>1750</v>
      </c>
      <c r="M503" s="23" t="s">
        <v>6</v>
      </c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</row>
    <row r="504" spans="1:31" x14ac:dyDescent="0.3">
      <c r="A504" s="176" t="s">
        <v>989</v>
      </c>
      <c r="B504" s="176" t="s">
        <v>990</v>
      </c>
      <c r="C504" s="25">
        <v>7093123940</v>
      </c>
      <c r="D504" s="188">
        <v>27858</v>
      </c>
      <c r="E504" s="23" t="s">
        <v>1751</v>
      </c>
      <c r="F504" s="23" t="s">
        <v>6</v>
      </c>
      <c r="G504" s="188"/>
      <c r="H504" s="176" t="s">
        <v>989</v>
      </c>
      <c r="I504" s="176" t="s">
        <v>990</v>
      </c>
      <c r="J504" s="25">
        <v>7093123940</v>
      </c>
      <c r="K504" s="188">
        <v>27858</v>
      </c>
      <c r="L504" s="23" t="s">
        <v>1751</v>
      </c>
      <c r="M504" s="23" t="s">
        <v>6</v>
      </c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</row>
    <row r="505" spans="1:31" x14ac:dyDescent="0.3">
      <c r="A505" s="176" t="s">
        <v>991</v>
      </c>
      <c r="B505" s="176" t="s">
        <v>395</v>
      </c>
      <c r="C505" s="25">
        <v>7176844371</v>
      </c>
      <c r="D505" s="188">
        <v>35747</v>
      </c>
      <c r="E505" s="23" t="s">
        <v>1752</v>
      </c>
      <c r="F505" s="23" t="s">
        <v>10</v>
      </c>
      <c r="G505" s="188"/>
      <c r="H505" s="176" t="s">
        <v>991</v>
      </c>
      <c r="I505" s="176" t="s">
        <v>395</v>
      </c>
      <c r="J505" s="25">
        <v>7176844371</v>
      </c>
      <c r="K505" s="188">
        <v>35747</v>
      </c>
      <c r="L505" s="23" t="s">
        <v>1752</v>
      </c>
      <c r="M505" s="23" t="s">
        <v>10</v>
      </c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</row>
    <row r="506" spans="1:31" x14ac:dyDescent="0.3">
      <c r="A506" s="176" t="s">
        <v>992</v>
      </c>
      <c r="B506" s="176" t="s">
        <v>913</v>
      </c>
      <c r="C506" s="25">
        <v>7165268508</v>
      </c>
      <c r="D506" s="188">
        <v>29671</v>
      </c>
      <c r="E506" s="23" t="s">
        <v>1753</v>
      </c>
      <c r="F506" s="23" t="s">
        <v>6</v>
      </c>
      <c r="G506" s="188"/>
      <c r="H506" s="176" t="s">
        <v>992</v>
      </c>
      <c r="I506" s="176" t="s">
        <v>913</v>
      </c>
      <c r="J506" s="25">
        <v>7165268508</v>
      </c>
      <c r="K506" s="188">
        <v>29671</v>
      </c>
      <c r="L506" s="23" t="s">
        <v>1753</v>
      </c>
      <c r="M506" s="23" t="s">
        <v>6</v>
      </c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</row>
    <row r="507" spans="1:31" x14ac:dyDescent="0.3">
      <c r="A507" s="176" t="s">
        <v>993</v>
      </c>
      <c r="B507" s="176" t="s">
        <v>994</v>
      </c>
      <c r="C507" s="25">
        <v>8122601200</v>
      </c>
      <c r="D507" s="188">
        <v>35708</v>
      </c>
      <c r="E507" s="23" t="s">
        <v>1754</v>
      </c>
      <c r="F507" s="23" t="s">
        <v>6</v>
      </c>
      <c r="G507" s="188"/>
      <c r="H507" s="176" t="s">
        <v>993</v>
      </c>
      <c r="I507" s="176" t="s">
        <v>994</v>
      </c>
      <c r="J507" s="25">
        <v>8122601200</v>
      </c>
      <c r="K507" s="188">
        <v>35708</v>
      </c>
      <c r="L507" s="23" t="s">
        <v>1754</v>
      </c>
      <c r="M507" s="23" t="s">
        <v>6</v>
      </c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</row>
    <row r="508" spans="1:31" x14ac:dyDescent="0.3">
      <c r="A508" s="176" t="s">
        <v>995</v>
      </c>
      <c r="B508" s="176" t="s">
        <v>996</v>
      </c>
      <c r="C508" s="25">
        <v>3064900514</v>
      </c>
      <c r="D508" s="188">
        <v>28497</v>
      </c>
      <c r="E508" s="23" t="s">
        <v>1755</v>
      </c>
      <c r="F508" s="23" t="s">
        <v>6</v>
      </c>
      <c r="G508" s="188"/>
      <c r="H508" s="176" t="s">
        <v>995</v>
      </c>
      <c r="I508" s="176" t="s">
        <v>996</v>
      </c>
      <c r="J508" s="25">
        <v>3064900514</v>
      </c>
      <c r="K508" s="188">
        <v>28497</v>
      </c>
      <c r="L508" s="23" t="s">
        <v>1755</v>
      </c>
      <c r="M508" s="23" t="s">
        <v>6</v>
      </c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</row>
    <row r="509" spans="1:31" x14ac:dyDescent="0.3">
      <c r="A509" s="176" t="s">
        <v>997</v>
      </c>
      <c r="B509" s="176" t="s">
        <v>836</v>
      </c>
      <c r="C509" s="25">
        <v>4048792521</v>
      </c>
      <c r="D509" s="188">
        <v>29369</v>
      </c>
      <c r="E509" s="23" t="s">
        <v>1756</v>
      </c>
      <c r="F509" s="23" t="s">
        <v>6</v>
      </c>
      <c r="G509" s="188"/>
      <c r="H509" s="176" t="s">
        <v>997</v>
      </c>
      <c r="I509" s="176" t="s">
        <v>836</v>
      </c>
      <c r="J509" s="25">
        <v>4048792521</v>
      </c>
      <c r="K509" s="188">
        <v>29369</v>
      </c>
      <c r="L509" s="23" t="s">
        <v>1756</v>
      </c>
      <c r="M509" s="23" t="s">
        <v>6</v>
      </c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</row>
    <row r="510" spans="1:31" x14ac:dyDescent="0.3">
      <c r="A510" s="176" t="s">
        <v>998</v>
      </c>
      <c r="B510" s="176" t="s">
        <v>999</v>
      </c>
      <c r="C510" s="25">
        <v>7134982487</v>
      </c>
      <c r="D510" s="188">
        <v>29787</v>
      </c>
      <c r="E510" s="23" t="s">
        <v>1757</v>
      </c>
      <c r="F510" s="23" t="s">
        <v>6</v>
      </c>
      <c r="G510" s="188"/>
      <c r="H510" s="176" t="s">
        <v>998</v>
      </c>
      <c r="I510" s="176" t="s">
        <v>999</v>
      </c>
      <c r="J510" s="25">
        <v>7134982487</v>
      </c>
      <c r="K510" s="188">
        <v>29787</v>
      </c>
      <c r="L510" s="23" t="s">
        <v>1757</v>
      </c>
      <c r="M510" s="23" t="s">
        <v>6</v>
      </c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</row>
    <row r="511" spans="1:31" x14ac:dyDescent="0.3">
      <c r="A511" s="176" t="s">
        <v>1000</v>
      </c>
      <c r="B511" s="176" t="s">
        <v>1001</v>
      </c>
      <c r="C511" s="25">
        <v>4161549933</v>
      </c>
      <c r="D511" s="188">
        <v>35194</v>
      </c>
      <c r="E511" s="23" t="s">
        <v>1758</v>
      </c>
      <c r="F511" s="23" t="s">
        <v>6</v>
      </c>
      <c r="G511" s="188"/>
      <c r="H511" s="176" t="s">
        <v>1000</v>
      </c>
      <c r="I511" s="176" t="s">
        <v>1001</v>
      </c>
      <c r="J511" s="25">
        <v>4161549933</v>
      </c>
      <c r="K511" s="188">
        <v>35194</v>
      </c>
      <c r="L511" s="23" t="s">
        <v>1758</v>
      </c>
      <c r="M511" s="23" t="s">
        <v>6</v>
      </c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</row>
    <row r="512" spans="1:31" x14ac:dyDescent="0.3">
      <c r="A512" s="176" t="s">
        <v>1002</v>
      </c>
      <c r="B512" s="176" t="s">
        <v>1003</v>
      </c>
      <c r="C512" s="25">
        <v>9032304625</v>
      </c>
      <c r="D512" s="188">
        <v>28025</v>
      </c>
      <c r="E512" s="23" t="s">
        <v>1759</v>
      </c>
      <c r="F512" s="23" t="s">
        <v>33</v>
      </c>
      <c r="G512" s="188"/>
      <c r="H512" s="176" t="s">
        <v>1002</v>
      </c>
      <c r="I512" s="176" t="s">
        <v>1003</v>
      </c>
      <c r="J512" s="25">
        <v>9032304625</v>
      </c>
      <c r="K512" s="188">
        <v>28025</v>
      </c>
      <c r="L512" s="23" t="s">
        <v>1759</v>
      </c>
      <c r="M512" s="23" t="s">
        <v>33</v>
      </c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</row>
    <row r="513" spans="1:31" x14ac:dyDescent="0.3">
      <c r="A513" s="176" t="s">
        <v>1004</v>
      </c>
      <c r="B513" s="176" t="s">
        <v>1005</v>
      </c>
      <c r="C513" s="25">
        <v>3138407416</v>
      </c>
      <c r="D513" s="188">
        <v>27920</v>
      </c>
      <c r="E513" s="23" t="s">
        <v>1760</v>
      </c>
      <c r="F513" s="23" t="s">
        <v>10</v>
      </c>
      <c r="G513" s="188"/>
      <c r="H513" s="176" t="s">
        <v>1004</v>
      </c>
      <c r="I513" s="176" t="s">
        <v>1005</v>
      </c>
      <c r="J513" s="25">
        <v>3138407416</v>
      </c>
      <c r="K513" s="188">
        <v>27920</v>
      </c>
      <c r="L513" s="23" t="s">
        <v>1760</v>
      </c>
      <c r="M513" s="23" t="s">
        <v>10</v>
      </c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</row>
    <row r="514" spans="1:31" x14ac:dyDescent="0.3">
      <c r="A514" s="176" t="s">
        <v>1006</v>
      </c>
      <c r="B514" s="176" t="s">
        <v>1007</v>
      </c>
      <c r="C514" s="25">
        <v>2138669137</v>
      </c>
      <c r="D514" s="188">
        <v>28613</v>
      </c>
      <c r="E514" s="23" t="s">
        <v>1761</v>
      </c>
      <c r="F514" s="23" t="s">
        <v>10</v>
      </c>
      <c r="G514" s="188"/>
      <c r="H514" s="176" t="s">
        <v>1006</v>
      </c>
      <c r="I514" s="176" t="s">
        <v>1007</v>
      </c>
      <c r="J514" s="25">
        <v>2138669137</v>
      </c>
      <c r="K514" s="188">
        <v>28613</v>
      </c>
      <c r="L514" s="23" t="s">
        <v>1761</v>
      </c>
      <c r="M514" s="23" t="s">
        <v>10</v>
      </c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</row>
    <row r="515" spans="1:31" x14ac:dyDescent="0.3">
      <c r="A515" s="176" t="s">
        <v>1008</v>
      </c>
      <c r="B515" s="176" t="s">
        <v>1009</v>
      </c>
      <c r="C515" s="25">
        <v>2048217409</v>
      </c>
      <c r="D515" s="188">
        <v>28933</v>
      </c>
      <c r="E515" s="23" t="s">
        <v>1762</v>
      </c>
      <c r="F515" s="23" t="s">
        <v>33</v>
      </c>
      <c r="G515" s="188"/>
      <c r="H515" s="176" t="s">
        <v>1008</v>
      </c>
      <c r="I515" s="176" t="s">
        <v>1009</v>
      </c>
      <c r="J515" s="25">
        <v>2048217409</v>
      </c>
      <c r="K515" s="188">
        <v>28933</v>
      </c>
      <c r="L515" s="23" t="s">
        <v>1762</v>
      </c>
      <c r="M515" s="23" t="s">
        <v>33</v>
      </c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</row>
    <row r="516" spans="1:31" x14ac:dyDescent="0.3">
      <c r="A516" s="176" t="s">
        <v>1010</v>
      </c>
      <c r="B516" s="176" t="s">
        <v>462</v>
      </c>
      <c r="C516" s="25">
        <v>6023324762</v>
      </c>
      <c r="D516" s="188">
        <v>29787</v>
      </c>
      <c r="E516" s="23" t="s">
        <v>1763</v>
      </c>
      <c r="F516" s="23" t="s">
        <v>6</v>
      </c>
      <c r="G516" s="188"/>
      <c r="H516" s="176" t="s">
        <v>1010</v>
      </c>
      <c r="I516" s="176" t="s">
        <v>462</v>
      </c>
      <c r="J516" s="25">
        <v>6023324762</v>
      </c>
      <c r="K516" s="188">
        <v>29787</v>
      </c>
      <c r="L516" s="23" t="s">
        <v>1763</v>
      </c>
      <c r="M516" s="23" t="s">
        <v>6</v>
      </c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</row>
    <row r="517" spans="1:31" x14ac:dyDescent="0.3">
      <c r="A517" s="176" t="s">
        <v>1011</v>
      </c>
      <c r="B517" s="176" t="s">
        <v>357</v>
      </c>
      <c r="C517" s="25">
        <v>5137188067</v>
      </c>
      <c r="D517" s="188">
        <v>30496</v>
      </c>
      <c r="E517" s="23" t="s">
        <v>1764</v>
      </c>
      <c r="F517" s="23" t="s">
        <v>6</v>
      </c>
      <c r="G517" s="188"/>
      <c r="H517" s="176" t="s">
        <v>1011</v>
      </c>
      <c r="I517" s="176" t="s">
        <v>357</v>
      </c>
      <c r="J517" s="25">
        <v>5137188067</v>
      </c>
      <c r="K517" s="188">
        <v>30496</v>
      </c>
      <c r="L517" s="23" t="s">
        <v>1764</v>
      </c>
      <c r="M517" s="23" t="s">
        <v>6</v>
      </c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</row>
    <row r="518" spans="1:31" x14ac:dyDescent="0.3">
      <c r="A518" s="176" t="s">
        <v>1012</v>
      </c>
      <c r="B518" s="176" t="s">
        <v>1013</v>
      </c>
      <c r="C518" s="25">
        <v>2155829090</v>
      </c>
      <c r="D518" s="188">
        <v>34693</v>
      </c>
      <c r="E518" s="23" t="s">
        <v>1765</v>
      </c>
      <c r="F518" s="23" t="s">
        <v>6</v>
      </c>
      <c r="G518" s="188"/>
      <c r="H518" s="176" t="s">
        <v>1012</v>
      </c>
      <c r="I518" s="176" t="s">
        <v>1013</v>
      </c>
      <c r="J518" s="25">
        <v>2155829090</v>
      </c>
      <c r="K518" s="188">
        <v>34693</v>
      </c>
      <c r="L518" s="23" t="s">
        <v>1765</v>
      </c>
      <c r="M518" s="23" t="s">
        <v>6</v>
      </c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</row>
    <row r="519" spans="1:31" x14ac:dyDescent="0.3">
      <c r="A519" s="176" t="s">
        <v>1014</v>
      </c>
      <c r="B519" s="176" t="s">
        <v>528</v>
      </c>
      <c r="C519" s="25">
        <v>9125981242</v>
      </c>
      <c r="D519" s="188">
        <v>29899</v>
      </c>
      <c r="E519" s="23" t="s">
        <v>1766</v>
      </c>
      <c r="F519" s="23" t="s">
        <v>10</v>
      </c>
      <c r="G519" s="188"/>
      <c r="H519" s="176" t="s">
        <v>1014</v>
      </c>
      <c r="I519" s="176" t="s">
        <v>528</v>
      </c>
      <c r="J519" s="25">
        <v>9125981242</v>
      </c>
      <c r="K519" s="188">
        <v>29899</v>
      </c>
      <c r="L519" s="23" t="s">
        <v>1766</v>
      </c>
      <c r="M519" s="23" t="s">
        <v>10</v>
      </c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</row>
    <row r="520" spans="1:31" x14ac:dyDescent="0.3">
      <c r="A520" s="176" t="s">
        <v>1015</v>
      </c>
      <c r="B520" s="176" t="s">
        <v>1016</v>
      </c>
      <c r="C520" s="25">
        <v>9116690862</v>
      </c>
      <c r="D520" s="188">
        <v>33339</v>
      </c>
      <c r="E520" s="23" t="s">
        <v>1767</v>
      </c>
      <c r="F520" s="23" t="s">
        <v>10</v>
      </c>
      <c r="G520" s="188"/>
      <c r="H520" s="176" t="s">
        <v>1015</v>
      </c>
      <c r="I520" s="176" t="s">
        <v>1016</v>
      </c>
      <c r="J520" s="25">
        <v>9116690862</v>
      </c>
      <c r="K520" s="188">
        <v>33339</v>
      </c>
      <c r="L520" s="23" t="s">
        <v>1767</v>
      </c>
      <c r="M520" s="23" t="s">
        <v>10</v>
      </c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</row>
    <row r="521" spans="1:31" x14ac:dyDescent="0.3">
      <c r="A521" s="176" t="s">
        <v>1017</v>
      </c>
      <c r="B521" s="176" t="s">
        <v>519</v>
      </c>
      <c r="C521" s="25">
        <v>5123182167</v>
      </c>
      <c r="D521" s="188">
        <v>34836</v>
      </c>
      <c r="E521" s="23" t="s">
        <v>1768</v>
      </c>
      <c r="F521" s="23" t="s">
        <v>6</v>
      </c>
      <c r="G521" s="188"/>
      <c r="H521" s="176" t="s">
        <v>1017</v>
      </c>
      <c r="I521" s="176" t="s">
        <v>519</v>
      </c>
      <c r="J521" s="25">
        <v>5123182167</v>
      </c>
      <c r="K521" s="188">
        <v>34836</v>
      </c>
      <c r="L521" s="23" t="s">
        <v>1768</v>
      </c>
      <c r="M521" s="23" t="s">
        <v>6</v>
      </c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</row>
    <row r="522" spans="1:31" x14ac:dyDescent="0.3">
      <c r="A522" s="176" t="s">
        <v>1018</v>
      </c>
      <c r="B522" s="176" t="s">
        <v>408</v>
      </c>
      <c r="C522" s="25">
        <v>2046114005</v>
      </c>
      <c r="D522" s="188">
        <v>30039</v>
      </c>
      <c r="E522" s="23" t="s">
        <v>1539</v>
      </c>
      <c r="F522" s="23" t="s">
        <v>6</v>
      </c>
      <c r="G522" s="188"/>
      <c r="H522" s="176" t="s">
        <v>1018</v>
      </c>
      <c r="I522" s="176" t="s">
        <v>408</v>
      </c>
      <c r="J522" s="25">
        <v>2046114005</v>
      </c>
      <c r="K522" s="188">
        <v>30039</v>
      </c>
      <c r="L522" s="23" t="s">
        <v>1539</v>
      </c>
      <c r="M522" s="23" t="s">
        <v>6</v>
      </c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</row>
    <row r="523" spans="1:31" x14ac:dyDescent="0.3">
      <c r="A523" s="176" t="s">
        <v>1019</v>
      </c>
      <c r="B523" s="176" t="s">
        <v>1020</v>
      </c>
      <c r="C523" s="25">
        <v>5018405552</v>
      </c>
      <c r="D523" s="188">
        <v>29379</v>
      </c>
      <c r="E523" s="23" t="s">
        <v>1769</v>
      </c>
      <c r="F523" s="23" t="s">
        <v>10</v>
      </c>
      <c r="G523" s="188"/>
      <c r="H523" s="176" t="s">
        <v>1019</v>
      </c>
      <c r="I523" s="176" t="s">
        <v>1020</v>
      </c>
      <c r="J523" s="25">
        <v>5018405552</v>
      </c>
      <c r="K523" s="188">
        <v>29379</v>
      </c>
      <c r="L523" s="23" t="s">
        <v>1769</v>
      </c>
      <c r="M523" s="23" t="s">
        <v>10</v>
      </c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</row>
    <row r="524" spans="1:31" x14ac:dyDescent="0.3">
      <c r="A524" s="176" t="s">
        <v>1021</v>
      </c>
      <c r="B524" s="176" t="s">
        <v>577</v>
      </c>
      <c r="C524" s="25">
        <v>7075220001</v>
      </c>
      <c r="D524" s="188">
        <v>35625</v>
      </c>
      <c r="E524" s="23" t="s">
        <v>1770</v>
      </c>
      <c r="F524" s="23" t="s">
        <v>10</v>
      </c>
      <c r="G524" s="188"/>
      <c r="H524" s="176" t="s">
        <v>1021</v>
      </c>
      <c r="I524" s="176" t="s">
        <v>577</v>
      </c>
      <c r="J524" s="25">
        <v>7075220001</v>
      </c>
      <c r="K524" s="188">
        <v>35625</v>
      </c>
      <c r="L524" s="23" t="s">
        <v>1770</v>
      </c>
      <c r="M524" s="23" t="s">
        <v>10</v>
      </c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</row>
    <row r="525" spans="1:31" x14ac:dyDescent="0.3">
      <c r="A525" s="176" t="s">
        <v>1022</v>
      </c>
      <c r="B525" s="176" t="s">
        <v>342</v>
      </c>
      <c r="C525" s="25">
        <v>8042344526</v>
      </c>
      <c r="D525" s="188">
        <v>29487</v>
      </c>
      <c r="E525" s="23" t="s">
        <v>1771</v>
      </c>
      <c r="F525" s="23" t="s">
        <v>10</v>
      </c>
      <c r="G525" s="188"/>
      <c r="H525" s="176" t="s">
        <v>1022</v>
      </c>
      <c r="I525" s="176" t="s">
        <v>342</v>
      </c>
      <c r="J525" s="25">
        <v>8042344526</v>
      </c>
      <c r="K525" s="188">
        <v>29487</v>
      </c>
      <c r="L525" s="23" t="s">
        <v>1771</v>
      </c>
      <c r="M525" s="23" t="s">
        <v>10</v>
      </c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</row>
    <row r="526" spans="1:31" x14ac:dyDescent="0.3">
      <c r="A526" s="176" t="s">
        <v>1023</v>
      </c>
      <c r="B526" s="176" t="s">
        <v>275</v>
      </c>
      <c r="C526" s="25">
        <v>9141682521</v>
      </c>
      <c r="D526" s="188">
        <v>28537</v>
      </c>
      <c r="E526" s="23" t="s">
        <v>1772</v>
      </c>
      <c r="F526" s="23" t="s">
        <v>6</v>
      </c>
      <c r="G526" s="188"/>
      <c r="H526" s="176" t="s">
        <v>1023</v>
      </c>
      <c r="I526" s="176" t="s">
        <v>275</v>
      </c>
      <c r="J526" s="25">
        <v>9141682521</v>
      </c>
      <c r="K526" s="188">
        <v>28537</v>
      </c>
      <c r="L526" s="23" t="s">
        <v>1772</v>
      </c>
      <c r="M526" s="23" t="s">
        <v>6</v>
      </c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</row>
    <row r="527" spans="1:31" x14ac:dyDescent="0.3">
      <c r="A527" s="176" t="s">
        <v>1024</v>
      </c>
      <c r="B527" s="176" t="s">
        <v>285</v>
      </c>
      <c r="C527" s="25">
        <v>8073909820</v>
      </c>
      <c r="D527" s="188">
        <v>30367</v>
      </c>
      <c r="E527" s="23" t="s">
        <v>1773</v>
      </c>
      <c r="F527" s="23" t="s">
        <v>6</v>
      </c>
      <c r="G527" s="188"/>
      <c r="H527" s="176" t="s">
        <v>1024</v>
      </c>
      <c r="I527" s="176" t="s">
        <v>285</v>
      </c>
      <c r="J527" s="25">
        <v>8073909820</v>
      </c>
      <c r="K527" s="188">
        <v>30367</v>
      </c>
      <c r="L527" s="23" t="s">
        <v>1773</v>
      </c>
      <c r="M527" s="23" t="s">
        <v>6</v>
      </c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</row>
    <row r="528" spans="1:31" x14ac:dyDescent="0.3">
      <c r="A528" s="176" t="s">
        <v>1025</v>
      </c>
      <c r="B528" s="176" t="s">
        <v>1026</v>
      </c>
      <c r="C528" s="25">
        <v>4017469217</v>
      </c>
      <c r="D528" s="188">
        <v>31933</v>
      </c>
      <c r="E528" s="23" t="s">
        <v>1774</v>
      </c>
      <c r="F528" s="23" t="s">
        <v>10</v>
      </c>
      <c r="G528" s="188"/>
      <c r="H528" s="176" t="s">
        <v>1025</v>
      </c>
      <c r="I528" s="176" t="s">
        <v>1026</v>
      </c>
      <c r="J528" s="25">
        <v>4017469217</v>
      </c>
      <c r="K528" s="188">
        <v>31933</v>
      </c>
      <c r="L528" s="23" t="s">
        <v>1774</v>
      </c>
      <c r="M528" s="23" t="s">
        <v>10</v>
      </c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</row>
    <row r="529" spans="1:31" x14ac:dyDescent="0.3">
      <c r="A529" s="176" t="s">
        <v>1027</v>
      </c>
      <c r="B529" s="176" t="s">
        <v>279</v>
      </c>
      <c r="C529" s="25">
        <v>6165717431</v>
      </c>
      <c r="D529" s="188">
        <v>32417</v>
      </c>
      <c r="E529" s="23" t="s">
        <v>1775</v>
      </c>
      <c r="F529" s="23" t="s">
        <v>10</v>
      </c>
      <c r="G529" s="188"/>
      <c r="H529" s="176" t="s">
        <v>1027</v>
      </c>
      <c r="I529" s="176" t="s">
        <v>279</v>
      </c>
      <c r="J529" s="25">
        <v>6165717431</v>
      </c>
      <c r="K529" s="188">
        <v>32417</v>
      </c>
      <c r="L529" s="23" t="s">
        <v>1775</v>
      </c>
      <c r="M529" s="23" t="s">
        <v>10</v>
      </c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</row>
    <row r="530" spans="1:31" x14ac:dyDescent="0.3">
      <c r="A530" s="176" t="s">
        <v>1028</v>
      </c>
      <c r="B530" s="176" t="s">
        <v>351</v>
      </c>
      <c r="C530" s="25">
        <v>5196053287</v>
      </c>
      <c r="D530" s="188">
        <v>32648</v>
      </c>
      <c r="E530" s="23" t="s">
        <v>1776</v>
      </c>
      <c r="F530" s="23" t="s">
        <v>6</v>
      </c>
      <c r="G530" s="188"/>
      <c r="H530" s="176" t="s">
        <v>1028</v>
      </c>
      <c r="I530" s="176" t="s">
        <v>351</v>
      </c>
      <c r="J530" s="25">
        <v>5196053287</v>
      </c>
      <c r="K530" s="188">
        <v>32648</v>
      </c>
      <c r="L530" s="23" t="s">
        <v>1776</v>
      </c>
      <c r="M530" s="23" t="s">
        <v>6</v>
      </c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</row>
    <row r="531" spans="1:31" x14ac:dyDescent="0.3">
      <c r="A531" s="176" t="s">
        <v>1029</v>
      </c>
      <c r="B531" s="176" t="s">
        <v>535</v>
      </c>
      <c r="C531" s="25">
        <v>5155990200</v>
      </c>
      <c r="D531" s="188">
        <v>32663</v>
      </c>
      <c r="E531" s="23" t="s">
        <v>1777</v>
      </c>
      <c r="F531" s="23" t="s">
        <v>10</v>
      </c>
      <c r="G531" s="188"/>
      <c r="H531" s="176" t="s">
        <v>1029</v>
      </c>
      <c r="I531" s="176" t="s">
        <v>535</v>
      </c>
      <c r="J531" s="25">
        <v>5155990200</v>
      </c>
      <c r="K531" s="188">
        <v>32663</v>
      </c>
      <c r="L531" s="23" t="s">
        <v>1777</v>
      </c>
      <c r="M531" s="23" t="s">
        <v>10</v>
      </c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</row>
    <row r="532" spans="1:31" x14ac:dyDescent="0.3">
      <c r="A532" s="176" t="s">
        <v>1030</v>
      </c>
      <c r="B532" s="176" t="s">
        <v>1031</v>
      </c>
      <c r="C532" s="25">
        <v>5041246633</v>
      </c>
      <c r="D532" s="188">
        <v>32789</v>
      </c>
      <c r="E532" s="23" t="s">
        <v>1778</v>
      </c>
      <c r="F532" s="23" t="s">
        <v>33</v>
      </c>
      <c r="G532" s="188"/>
      <c r="H532" s="176" t="s">
        <v>1030</v>
      </c>
      <c r="I532" s="176" t="s">
        <v>1031</v>
      </c>
      <c r="J532" s="25">
        <v>5041246633</v>
      </c>
      <c r="K532" s="188">
        <v>32789</v>
      </c>
      <c r="L532" s="23" t="s">
        <v>1778</v>
      </c>
      <c r="M532" s="23" t="s">
        <v>33</v>
      </c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</row>
    <row r="533" spans="1:31" x14ac:dyDescent="0.3">
      <c r="A533" s="176" t="s">
        <v>1032</v>
      </c>
      <c r="B533" s="176" t="s">
        <v>1033</v>
      </c>
      <c r="C533" s="25">
        <v>9166458440</v>
      </c>
      <c r="D533" s="188">
        <v>30152</v>
      </c>
      <c r="E533" s="23" t="s">
        <v>1440</v>
      </c>
      <c r="F533" s="23" t="s">
        <v>10</v>
      </c>
      <c r="G533" s="188"/>
      <c r="H533" s="176" t="s">
        <v>1032</v>
      </c>
      <c r="I533" s="176" t="s">
        <v>1033</v>
      </c>
      <c r="J533" s="25">
        <v>9166458440</v>
      </c>
      <c r="K533" s="188">
        <v>30152</v>
      </c>
      <c r="L533" s="23" t="s">
        <v>1440</v>
      </c>
      <c r="M533" s="23" t="s">
        <v>10</v>
      </c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</row>
    <row r="534" spans="1:31" x14ac:dyDescent="0.3">
      <c r="A534" s="176" t="s">
        <v>1034</v>
      </c>
      <c r="B534" s="176" t="s">
        <v>1035</v>
      </c>
      <c r="C534" s="25">
        <v>4148591986</v>
      </c>
      <c r="D534" s="188">
        <v>33961</v>
      </c>
      <c r="E534" s="23" t="s">
        <v>1779</v>
      </c>
      <c r="F534" s="23" t="s">
        <v>10</v>
      </c>
      <c r="G534" s="188"/>
      <c r="H534" s="176" t="s">
        <v>1034</v>
      </c>
      <c r="I534" s="176" t="s">
        <v>1035</v>
      </c>
      <c r="J534" s="25">
        <v>4148591986</v>
      </c>
      <c r="K534" s="188">
        <v>33961</v>
      </c>
      <c r="L534" s="23" t="s">
        <v>1779</v>
      </c>
      <c r="M534" s="23" t="s">
        <v>10</v>
      </c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</row>
    <row r="535" spans="1:31" x14ac:dyDescent="0.3">
      <c r="A535" s="176" t="s">
        <v>1036</v>
      </c>
      <c r="B535" s="176" t="s">
        <v>310</v>
      </c>
      <c r="C535" s="25">
        <v>9028304204</v>
      </c>
      <c r="D535" s="188">
        <v>28848</v>
      </c>
      <c r="E535" s="23" t="s">
        <v>1780</v>
      </c>
      <c r="F535" s="23" t="s">
        <v>10</v>
      </c>
      <c r="G535" s="188"/>
      <c r="H535" s="176" t="s">
        <v>1036</v>
      </c>
      <c r="I535" s="176" t="s">
        <v>310</v>
      </c>
      <c r="J535" s="25">
        <v>9028304204</v>
      </c>
      <c r="K535" s="188">
        <v>28848</v>
      </c>
      <c r="L535" s="23" t="s">
        <v>1780</v>
      </c>
      <c r="M535" s="23" t="s">
        <v>10</v>
      </c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</row>
    <row r="536" spans="1:31" x14ac:dyDescent="0.3">
      <c r="A536" s="176" t="s">
        <v>1037</v>
      </c>
      <c r="B536" s="176" t="s">
        <v>783</v>
      </c>
      <c r="C536" s="25">
        <v>2146739978</v>
      </c>
      <c r="D536" s="188">
        <v>30631</v>
      </c>
      <c r="E536" s="23" t="s">
        <v>1781</v>
      </c>
      <c r="F536" s="23" t="s">
        <v>18</v>
      </c>
      <c r="G536" s="188"/>
      <c r="H536" s="176" t="s">
        <v>1037</v>
      </c>
      <c r="I536" s="176" t="s">
        <v>783</v>
      </c>
      <c r="J536" s="25">
        <v>2146739978</v>
      </c>
      <c r="K536" s="188">
        <v>30631</v>
      </c>
      <c r="L536" s="23" t="s">
        <v>1781</v>
      </c>
      <c r="M536" s="23" t="s">
        <v>18</v>
      </c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</row>
    <row r="537" spans="1:31" x14ac:dyDescent="0.3">
      <c r="A537" s="176" t="s">
        <v>1038</v>
      </c>
      <c r="B537" s="176" t="s">
        <v>690</v>
      </c>
      <c r="C537" s="25">
        <v>4185267252</v>
      </c>
      <c r="D537" s="188">
        <v>28311</v>
      </c>
      <c r="E537" s="23" t="s">
        <v>1782</v>
      </c>
      <c r="F537" s="23" t="s">
        <v>18</v>
      </c>
      <c r="G537" s="188"/>
      <c r="H537" s="176" t="s">
        <v>1038</v>
      </c>
      <c r="I537" s="176" t="s">
        <v>690</v>
      </c>
      <c r="J537" s="25">
        <v>4185267252</v>
      </c>
      <c r="K537" s="188">
        <v>28311</v>
      </c>
      <c r="L537" s="23" t="s">
        <v>1782</v>
      </c>
      <c r="M537" s="23" t="s">
        <v>18</v>
      </c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</row>
    <row r="538" spans="1:31" x14ac:dyDescent="0.3">
      <c r="A538" s="176" t="s">
        <v>1039</v>
      </c>
      <c r="B538" s="176" t="s">
        <v>684</v>
      </c>
      <c r="C538" s="25">
        <v>6182999652</v>
      </c>
      <c r="D538" s="188">
        <v>29702</v>
      </c>
      <c r="E538" s="23" t="s">
        <v>1783</v>
      </c>
      <c r="F538" s="23" t="s">
        <v>6</v>
      </c>
      <c r="G538" s="188"/>
      <c r="H538" s="176" t="s">
        <v>1039</v>
      </c>
      <c r="I538" s="176" t="s">
        <v>684</v>
      </c>
      <c r="J538" s="25">
        <v>6182999652</v>
      </c>
      <c r="K538" s="188">
        <v>29702</v>
      </c>
      <c r="L538" s="23" t="s">
        <v>1783</v>
      </c>
      <c r="M538" s="23" t="s">
        <v>6</v>
      </c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</row>
    <row r="539" spans="1:31" x14ac:dyDescent="0.3">
      <c r="A539" s="176" t="s">
        <v>1040</v>
      </c>
      <c r="B539" s="176" t="s">
        <v>468</v>
      </c>
      <c r="C539" s="25">
        <v>5165790921</v>
      </c>
      <c r="D539" s="188">
        <v>32694</v>
      </c>
      <c r="E539" s="23" t="s">
        <v>1784</v>
      </c>
      <c r="F539" s="23" t="s">
        <v>33</v>
      </c>
      <c r="G539" s="188"/>
      <c r="H539" s="176" t="s">
        <v>1040</v>
      </c>
      <c r="I539" s="176" t="s">
        <v>468</v>
      </c>
      <c r="J539" s="25">
        <v>5165790921</v>
      </c>
      <c r="K539" s="188">
        <v>32694</v>
      </c>
      <c r="L539" s="23" t="s">
        <v>1784</v>
      </c>
      <c r="M539" s="23" t="s">
        <v>33</v>
      </c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</row>
    <row r="540" spans="1:31" x14ac:dyDescent="0.3">
      <c r="A540" s="176" t="s">
        <v>1041</v>
      </c>
      <c r="B540" s="176" t="s">
        <v>1042</v>
      </c>
      <c r="C540" s="25">
        <v>8064111882</v>
      </c>
      <c r="D540" s="188">
        <v>27859</v>
      </c>
      <c r="E540" s="23" t="s">
        <v>1785</v>
      </c>
      <c r="F540" s="23" t="s">
        <v>6</v>
      </c>
      <c r="G540" s="188"/>
      <c r="H540" s="176" t="s">
        <v>1041</v>
      </c>
      <c r="I540" s="176" t="s">
        <v>1042</v>
      </c>
      <c r="J540" s="25">
        <v>8064111882</v>
      </c>
      <c r="K540" s="188">
        <v>27859</v>
      </c>
      <c r="L540" s="23" t="s">
        <v>1785</v>
      </c>
      <c r="M540" s="23" t="s">
        <v>6</v>
      </c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</row>
    <row r="541" spans="1:31" x14ac:dyDescent="0.3">
      <c r="A541" s="176" t="s">
        <v>1043</v>
      </c>
      <c r="B541" s="176" t="s">
        <v>783</v>
      </c>
      <c r="C541" s="25">
        <v>7097111802</v>
      </c>
      <c r="D541" s="188">
        <v>27858</v>
      </c>
      <c r="E541" s="23" t="s">
        <v>1786</v>
      </c>
      <c r="F541" s="23" t="s">
        <v>10</v>
      </c>
      <c r="G541" s="188"/>
      <c r="H541" s="176" t="s">
        <v>1043</v>
      </c>
      <c r="I541" s="176" t="s">
        <v>783</v>
      </c>
      <c r="J541" s="25">
        <v>7097111802</v>
      </c>
      <c r="K541" s="188">
        <v>27858</v>
      </c>
      <c r="L541" s="23" t="s">
        <v>1786</v>
      </c>
      <c r="M541" s="23" t="s">
        <v>10</v>
      </c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</row>
    <row r="542" spans="1:31" x14ac:dyDescent="0.3">
      <c r="A542" s="176" t="s">
        <v>1044</v>
      </c>
      <c r="B542" s="176" t="s">
        <v>1045</v>
      </c>
      <c r="C542" s="25">
        <v>9163578185</v>
      </c>
      <c r="D542" s="188">
        <v>35747</v>
      </c>
      <c r="E542" s="23" t="s">
        <v>1787</v>
      </c>
      <c r="F542" s="23" t="s">
        <v>18</v>
      </c>
      <c r="G542" s="188"/>
      <c r="H542" s="176" t="s">
        <v>1044</v>
      </c>
      <c r="I542" s="176" t="s">
        <v>1045</v>
      </c>
      <c r="J542" s="25">
        <v>9163578185</v>
      </c>
      <c r="K542" s="188">
        <v>35747</v>
      </c>
      <c r="L542" s="23" t="s">
        <v>1787</v>
      </c>
      <c r="M542" s="23" t="s">
        <v>18</v>
      </c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</row>
    <row r="543" spans="1:31" x14ac:dyDescent="0.3">
      <c r="A543" s="176" t="s">
        <v>1046</v>
      </c>
      <c r="B543" s="176" t="s">
        <v>913</v>
      </c>
      <c r="C543" s="25">
        <v>4131472895</v>
      </c>
      <c r="D543" s="188">
        <v>29671</v>
      </c>
      <c r="E543" s="23" t="s">
        <v>1788</v>
      </c>
      <c r="F543" s="23" t="s">
        <v>6</v>
      </c>
      <c r="G543" s="188"/>
      <c r="H543" s="176" t="s">
        <v>1046</v>
      </c>
      <c r="I543" s="176" t="s">
        <v>913</v>
      </c>
      <c r="J543" s="25">
        <v>4131472895</v>
      </c>
      <c r="K543" s="188">
        <v>29671</v>
      </c>
      <c r="L543" s="23" t="s">
        <v>1788</v>
      </c>
      <c r="M543" s="23" t="s">
        <v>6</v>
      </c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</row>
    <row r="544" spans="1:31" x14ac:dyDescent="0.3">
      <c r="A544" s="176" t="s">
        <v>1047</v>
      </c>
      <c r="B544" s="176" t="s">
        <v>447</v>
      </c>
      <c r="C544" s="25">
        <v>4135797109</v>
      </c>
      <c r="D544" s="188">
        <v>35708</v>
      </c>
      <c r="E544" s="23" t="s">
        <v>1789</v>
      </c>
      <c r="F544" s="23" t="s">
        <v>33</v>
      </c>
      <c r="G544" s="188"/>
      <c r="H544" s="176" t="s">
        <v>1047</v>
      </c>
      <c r="I544" s="176" t="s">
        <v>447</v>
      </c>
      <c r="J544" s="25">
        <v>4135797109</v>
      </c>
      <c r="K544" s="188">
        <v>35708</v>
      </c>
      <c r="L544" s="23" t="s">
        <v>1789</v>
      </c>
      <c r="M544" s="23" t="s">
        <v>33</v>
      </c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</row>
    <row r="545" spans="1:31" x14ac:dyDescent="0.3">
      <c r="A545" s="176" t="s">
        <v>1048</v>
      </c>
      <c r="B545" s="176" t="s">
        <v>1049</v>
      </c>
      <c r="C545" s="25">
        <v>3147600603</v>
      </c>
      <c r="D545" s="188">
        <v>28497</v>
      </c>
      <c r="E545" s="23" t="s">
        <v>1790</v>
      </c>
      <c r="F545" s="23" t="s">
        <v>6</v>
      </c>
      <c r="G545" s="188"/>
      <c r="H545" s="176" t="s">
        <v>1048</v>
      </c>
      <c r="I545" s="176" t="s">
        <v>1049</v>
      </c>
      <c r="J545" s="25">
        <v>3147600603</v>
      </c>
      <c r="K545" s="188">
        <v>28497</v>
      </c>
      <c r="L545" s="23" t="s">
        <v>1790</v>
      </c>
      <c r="M545" s="23" t="s">
        <v>6</v>
      </c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</row>
    <row r="546" spans="1:31" x14ac:dyDescent="0.3">
      <c r="A546" s="176" t="s">
        <v>1050</v>
      </c>
      <c r="B546" s="176" t="s">
        <v>1051</v>
      </c>
      <c r="C546" s="25">
        <v>5095327906</v>
      </c>
      <c r="D546" s="188">
        <v>29369</v>
      </c>
      <c r="E546" s="23" t="s">
        <v>1791</v>
      </c>
      <c r="F546" s="23" t="s">
        <v>6</v>
      </c>
      <c r="G546" s="188"/>
      <c r="H546" s="176" t="s">
        <v>1050</v>
      </c>
      <c r="I546" s="176" t="s">
        <v>1051</v>
      </c>
      <c r="J546" s="25">
        <v>5095327906</v>
      </c>
      <c r="K546" s="188">
        <v>29369</v>
      </c>
      <c r="L546" s="23" t="s">
        <v>1791</v>
      </c>
      <c r="M546" s="23" t="s">
        <v>6</v>
      </c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</row>
    <row r="547" spans="1:31" x14ac:dyDescent="0.3">
      <c r="A547" s="176" t="s">
        <v>1052</v>
      </c>
      <c r="B547" s="176" t="s">
        <v>1053</v>
      </c>
      <c r="C547" s="25">
        <v>9166335284</v>
      </c>
      <c r="D547" s="188">
        <v>29787</v>
      </c>
      <c r="E547" s="23" t="s">
        <v>1792</v>
      </c>
      <c r="F547" s="23" t="s">
        <v>33</v>
      </c>
      <c r="G547" s="188"/>
      <c r="H547" s="176" t="s">
        <v>1052</v>
      </c>
      <c r="I547" s="176" t="s">
        <v>1053</v>
      </c>
      <c r="J547" s="25">
        <v>9166335284</v>
      </c>
      <c r="K547" s="188">
        <v>29787</v>
      </c>
      <c r="L547" s="23" t="s">
        <v>1792</v>
      </c>
      <c r="M547" s="23" t="s">
        <v>33</v>
      </c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</row>
    <row r="548" spans="1:31" x14ac:dyDescent="0.3">
      <c r="A548" s="176" t="s">
        <v>1054</v>
      </c>
      <c r="B548" s="176" t="s">
        <v>1055</v>
      </c>
      <c r="C548" s="25">
        <v>7177919826</v>
      </c>
      <c r="D548" s="188">
        <v>35194</v>
      </c>
      <c r="E548" s="23" t="s">
        <v>1793</v>
      </c>
      <c r="F548" s="23" t="s">
        <v>18</v>
      </c>
      <c r="G548" s="188"/>
      <c r="H548" s="176" t="s">
        <v>1054</v>
      </c>
      <c r="I548" s="176" t="s">
        <v>1055</v>
      </c>
      <c r="J548" s="25">
        <v>7177919826</v>
      </c>
      <c r="K548" s="188">
        <v>35194</v>
      </c>
      <c r="L548" s="23" t="s">
        <v>1793</v>
      </c>
      <c r="M548" s="23" t="s">
        <v>18</v>
      </c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</row>
    <row r="549" spans="1:31" x14ac:dyDescent="0.3">
      <c r="A549" s="176" t="s">
        <v>1056</v>
      </c>
      <c r="B549" s="176" t="s">
        <v>1057</v>
      </c>
      <c r="C549" s="25">
        <v>3124980674</v>
      </c>
      <c r="D549" s="188">
        <v>28025</v>
      </c>
      <c r="E549" s="23" t="s">
        <v>1794</v>
      </c>
      <c r="F549" s="23" t="s">
        <v>10</v>
      </c>
      <c r="G549" s="188"/>
      <c r="H549" s="176" t="s">
        <v>1056</v>
      </c>
      <c r="I549" s="176" t="s">
        <v>1057</v>
      </c>
      <c r="J549" s="25">
        <v>3124980674</v>
      </c>
      <c r="K549" s="188">
        <v>28025</v>
      </c>
      <c r="L549" s="23" t="s">
        <v>1794</v>
      </c>
      <c r="M549" s="23" t="s">
        <v>10</v>
      </c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</row>
    <row r="550" spans="1:31" x14ac:dyDescent="0.3">
      <c r="A550" s="176" t="s">
        <v>1058</v>
      </c>
      <c r="B550" s="176" t="s">
        <v>1059</v>
      </c>
      <c r="C550" s="25">
        <v>2063825834</v>
      </c>
      <c r="D550" s="188">
        <v>27920</v>
      </c>
      <c r="E550" s="23" t="s">
        <v>1795</v>
      </c>
      <c r="F550" s="23" t="s">
        <v>6</v>
      </c>
      <c r="G550" s="188"/>
      <c r="H550" s="176" t="s">
        <v>1058</v>
      </c>
      <c r="I550" s="176" t="s">
        <v>1059</v>
      </c>
      <c r="J550" s="25">
        <v>2063825834</v>
      </c>
      <c r="K550" s="188">
        <v>27920</v>
      </c>
      <c r="L550" s="23" t="s">
        <v>1795</v>
      </c>
      <c r="M550" s="23" t="s">
        <v>6</v>
      </c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</row>
    <row r="551" spans="1:31" x14ac:dyDescent="0.3">
      <c r="A551" s="176" t="s">
        <v>1060</v>
      </c>
      <c r="B551" s="176" t="s">
        <v>447</v>
      </c>
      <c r="C551" s="25">
        <v>4093451072</v>
      </c>
      <c r="D551" s="188">
        <v>28613</v>
      </c>
      <c r="E551" s="23" t="s">
        <v>1796</v>
      </c>
      <c r="F551" s="23" t="s">
        <v>18</v>
      </c>
      <c r="G551" s="188"/>
      <c r="H551" s="176" t="s">
        <v>1060</v>
      </c>
      <c r="I551" s="176" t="s">
        <v>447</v>
      </c>
      <c r="J551" s="25">
        <v>4093451072</v>
      </c>
      <c r="K551" s="188">
        <v>28613</v>
      </c>
      <c r="L551" s="23" t="s">
        <v>1796</v>
      </c>
      <c r="M551" s="23" t="s">
        <v>18</v>
      </c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</row>
    <row r="552" spans="1:31" x14ac:dyDescent="0.3">
      <c r="A552" s="176" t="s">
        <v>1061</v>
      </c>
      <c r="B552" s="176" t="s">
        <v>1062</v>
      </c>
      <c r="C552" s="25">
        <v>4144072342</v>
      </c>
      <c r="D552" s="188">
        <v>28933</v>
      </c>
      <c r="E552" s="23" t="s">
        <v>1790</v>
      </c>
      <c r="F552" s="23" t="s">
        <v>10</v>
      </c>
      <c r="G552" s="188"/>
      <c r="H552" s="176" t="s">
        <v>1061</v>
      </c>
      <c r="I552" s="176" t="s">
        <v>1062</v>
      </c>
      <c r="J552" s="25">
        <v>4144072342</v>
      </c>
      <c r="K552" s="188">
        <v>28933</v>
      </c>
      <c r="L552" s="23" t="s">
        <v>1790</v>
      </c>
      <c r="M552" s="23" t="s">
        <v>10</v>
      </c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</row>
    <row r="553" spans="1:31" x14ac:dyDescent="0.3">
      <c r="A553" s="176" t="s">
        <v>1063</v>
      </c>
      <c r="B553" s="176" t="s">
        <v>1064</v>
      </c>
      <c r="C553" s="25">
        <v>4113976775</v>
      </c>
      <c r="D553" s="188">
        <v>29787</v>
      </c>
      <c r="E553" s="23" t="s">
        <v>1797</v>
      </c>
      <c r="F553" s="23" t="s">
        <v>33</v>
      </c>
      <c r="G553" s="188"/>
      <c r="H553" s="176" t="s">
        <v>1063</v>
      </c>
      <c r="I553" s="176" t="s">
        <v>1064</v>
      </c>
      <c r="J553" s="25">
        <v>4113976775</v>
      </c>
      <c r="K553" s="188">
        <v>29787</v>
      </c>
      <c r="L553" s="23" t="s">
        <v>1797</v>
      </c>
      <c r="M553" s="23" t="s">
        <v>33</v>
      </c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</row>
    <row r="554" spans="1:31" x14ac:dyDescent="0.3">
      <c r="A554" s="176" t="s">
        <v>247</v>
      </c>
      <c r="B554" s="176" t="s">
        <v>215</v>
      </c>
      <c r="C554" s="25">
        <v>5192263363</v>
      </c>
      <c r="D554" s="188">
        <v>30496</v>
      </c>
      <c r="E554" s="23" t="s">
        <v>1798</v>
      </c>
      <c r="F554" s="23" t="s">
        <v>10</v>
      </c>
      <c r="G554" s="188"/>
      <c r="H554" s="176" t="s">
        <v>247</v>
      </c>
      <c r="I554" s="176" t="s">
        <v>215</v>
      </c>
      <c r="J554" s="25">
        <v>5192263363</v>
      </c>
      <c r="K554" s="188">
        <v>30496</v>
      </c>
      <c r="L554" s="23" t="s">
        <v>1798</v>
      </c>
      <c r="M554" s="23" t="s">
        <v>10</v>
      </c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</row>
    <row r="555" spans="1:31" x14ac:dyDescent="0.3">
      <c r="A555" s="176" t="s">
        <v>1065</v>
      </c>
      <c r="B555" s="176" t="s">
        <v>357</v>
      </c>
      <c r="C555" s="25">
        <v>7024077699</v>
      </c>
      <c r="D555" s="188">
        <v>34693</v>
      </c>
      <c r="E555" s="23" t="s">
        <v>1799</v>
      </c>
      <c r="F555" s="23" t="s">
        <v>10</v>
      </c>
      <c r="G555" s="188"/>
      <c r="H555" s="176" t="s">
        <v>1065</v>
      </c>
      <c r="I555" s="176" t="s">
        <v>357</v>
      </c>
      <c r="J555" s="25">
        <v>7024077699</v>
      </c>
      <c r="K555" s="188">
        <v>34693</v>
      </c>
      <c r="L555" s="23" t="s">
        <v>1799</v>
      </c>
      <c r="M555" s="23" t="s">
        <v>10</v>
      </c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</row>
    <row r="556" spans="1:31" x14ac:dyDescent="0.3">
      <c r="A556" s="176" t="s">
        <v>1066</v>
      </c>
      <c r="B556" s="176" t="s">
        <v>288</v>
      </c>
      <c r="C556" s="25">
        <v>8091629556</v>
      </c>
      <c r="D556" s="188">
        <v>29899</v>
      </c>
      <c r="E556" s="23" t="s">
        <v>1800</v>
      </c>
      <c r="F556" s="23" t="s">
        <v>6</v>
      </c>
      <c r="G556" s="188"/>
      <c r="H556" s="176" t="s">
        <v>1066</v>
      </c>
      <c r="I556" s="176" t="s">
        <v>288</v>
      </c>
      <c r="J556" s="25">
        <v>8091629556</v>
      </c>
      <c r="K556" s="188">
        <v>29899</v>
      </c>
      <c r="L556" s="23" t="s">
        <v>1800</v>
      </c>
      <c r="M556" s="23" t="s">
        <v>6</v>
      </c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</row>
    <row r="557" spans="1:31" x14ac:dyDescent="0.3">
      <c r="A557" s="176" t="s">
        <v>1067</v>
      </c>
      <c r="B557" s="176" t="s">
        <v>504</v>
      </c>
      <c r="C557" s="25">
        <v>6056565171</v>
      </c>
      <c r="D557" s="188">
        <v>33339</v>
      </c>
      <c r="E557" s="23" t="s">
        <v>1801</v>
      </c>
      <c r="F557" s="23" t="s">
        <v>10</v>
      </c>
      <c r="G557" s="188"/>
      <c r="H557" s="176" t="s">
        <v>1067</v>
      </c>
      <c r="I557" s="176" t="s">
        <v>504</v>
      </c>
      <c r="J557" s="25">
        <v>6056565171</v>
      </c>
      <c r="K557" s="188">
        <v>33339</v>
      </c>
      <c r="L557" s="23" t="s">
        <v>1801</v>
      </c>
      <c r="M557" s="23" t="s">
        <v>10</v>
      </c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</row>
    <row r="558" spans="1:31" x14ac:dyDescent="0.3">
      <c r="A558" s="176" t="s">
        <v>1068</v>
      </c>
      <c r="B558" s="176" t="s">
        <v>322</v>
      </c>
      <c r="C558" s="25">
        <v>3192140101</v>
      </c>
      <c r="D558" s="188">
        <v>34836</v>
      </c>
      <c r="E558" s="23" t="s">
        <v>1802</v>
      </c>
      <c r="F558" s="23" t="s">
        <v>10</v>
      </c>
      <c r="G558" s="188"/>
      <c r="H558" s="176" t="s">
        <v>1068</v>
      </c>
      <c r="I558" s="176" t="s">
        <v>322</v>
      </c>
      <c r="J558" s="25">
        <v>3192140101</v>
      </c>
      <c r="K558" s="188">
        <v>34836</v>
      </c>
      <c r="L558" s="23" t="s">
        <v>1802</v>
      </c>
      <c r="M558" s="23" t="s">
        <v>10</v>
      </c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</row>
    <row r="559" spans="1:31" x14ac:dyDescent="0.3">
      <c r="A559" s="176" t="s">
        <v>1069</v>
      </c>
      <c r="B559" s="176" t="s">
        <v>1070</v>
      </c>
      <c r="C559" s="25">
        <v>2078085402</v>
      </c>
      <c r="D559" s="188">
        <v>30039</v>
      </c>
      <c r="E559" s="23" t="s">
        <v>1803</v>
      </c>
      <c r="F559" s="23" t="s">
        <v>6</v>
      </c>
      <c r="G559" s="188"/>
      <c r="H559" s="176" t="s">
        <v>1069</v>
      </c>
      <c r="I559" s="176" t="s">
        <v>1070</v>
      </c>
      <c r="J559" s="25">
        <v>2078085402</v>
      </c>
      <c r="K559" s="188">
        <v>30039</v>
      </c>
      <c r="L559" s="23" t="s">
        <v>1803</v>
      </c>
      <c r="M559" s="23" t="s">
        <v>6</v>
      </c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</row>
    <row r="560" spans="1:31" x14ac:dyDescent="0.3">
      <c r="A560" s="176" t="s">
        <v>1071</v>
      </c>
      <c r="B560" s="176" t="s">
        <v>956</v>
      </c>
      <c r="C560" s="25">
        <v>9171462245</v>
      </c>
      <c r="D560" s="188">
        <v>29379</v>
      </c>
      <c r="E560" s="23" t="s">
        <v>1804</v>
      </c>
      <c r="F560" s="23" t="s">
        <v>18</v>
      </c>
      <c r="G560" s="188"/>
      <c r="H560" s="176" t="s">
        <v>1071</v>
      </c>
      <c r="I560" s="176" t="s">
        <v>956</v>
      </c>
      <c r="J560" s="25">
        <v>9171462245</v>
      </c>
      <c r="K560" s="188">
        <v>29379</v>
      </c>
      <c r="L560" s="23" t="s">
        <v>1804</v>
      </c>
      <c r="M560" s="23" t="s">
        <v>18</v>
      </c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</row>
    <row r="561" spans="1:31" x14ac:dyDescent="0.3">
      <c r="A561" s="176" t="s">
        <v>1072</v>
      </c>
      <c r="B561" s="176" t="s">
        <v>310</v>
      </c>
      <c r="C561" s="25">
        <v>5081999230</v>
      </c>
      <c r="D561" s="188">
        <v>35625</v>
      </c>
      <c r="E561" s="23" t="s">
        <v>1805</v>
      </c>
      <c r="F561" s="23" t="s">
        <v>10</v>
      </c>
      <c r="G561" s="188"/>
      <c r="H561" s="176" t="s">
        <v>1072</v>
      </c>
      <c r="I561" s="176" t="s">
        <v>310</v>
      </c>
      <c r="J561" s="25">
        <v>5081999230</v>
      </c>
      <c r="K561" s="188">
        <v>35625</v>
      </c>
      <c r="L561" s="23" t="s">
        <v>1805</v>
      </c>
      <c r="M561" s="23" t="s">
        <v>10</v>
      </c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</row>
    <row r="562" spans="1:31" x14ac:dyDescent="0.3">
      <c r="A562" s="176" t="s">
        <v>1073</v>
      </c>
      <c r="B562" s="176" t="s">
        <v>1074</v>
      </c>
      <c r="C562" s="25">
        <v>7026733291</v>
      </c>
      <c r="D562" s="188">
        <v>29487</v>
      </c>
      <c r="E562" s="23" t="s">
        <v>1806</v>
      </c>
      <c r="F562" s="23" t="s">
        <v>6</v>
      </c>
      <c r="G562" s="188"/>
      <c r="H562" s="176" t="s">
        <v>1073</v>
      </c>
      <c r="I562" s="176" t="s">
        <v>1074</v>
      </c>
      <c r="J562" s="25">
        <v>7026733291</v>
      </c>
      <c r="K562" s="188">
        <v>29487</v>
      </c>
      <c r="L562" s="23" t="s">
        <v>1806</v>
      </c>
      <c r="M562" s="23" t="s">
        <v>6</v>
      </c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</row>
    <row r="563" spans="1:31" x14ac:dyDescent="0.3">
      <c r="A563" s="176" t="s">
        <v>1075</v>
      </c>
      <c r="B563" s="176" t="s">
        <v>322</v>
      </c>
      <c r="C563" s="25">
        <v>3114141191</v>
      </c>
      <c r="D563" s="188">
        <v>28537</v>
      </c>
      <c r="E563" s="23" t="s">
        <v>1807</v>
      </c>
      <c r="F563" s="23" t="s">
        <v>33</v>
      </c>
      <c r="G563" s="188"/>
      <c r="H563" s="176" t="s">
        <v>1075</v>
      </c>
      <c r="I563" s="176" t="s">
        <v>322</v>
      </c>
      <c r="J563" s="25">
        <v>3114141191</v>
      </c>
      <c r="K563" s="188">
        <v>28537</v>
      </c>
      <c r="L563" s="23" t="s">
        <v>1807</v>
      </c>
      <c r="M563" s="23" t="s">
        <v>33</v>
      </c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</row>
    <row r="564" spans="1:31" x14ac:dyDescent="0.3">
      <c r="A564" s="176" t="s">
        <v>1076</v>
      </c>
      <c r="B564" s="176" t="s">
        <v>1077</v>
      </c>
      <c r="C564" s="25">
        <v>4026396432</v>
      </c>
      <c r="D564" s="188">
        <v>30367</v>
      </c>
      <c r="E564" s="23" t="s">
        <v>1527</v>
      </c>
      <c r="F564" s="23" t="s">
        <v>10</v>
      </c>
      <c r="G564" s="188"/>
      <c r="H564" s="176" t="s">
        <v>1076</v>
      </c>
      <c r="I564" s="176" t="s">
        <v>1077</v>
      </c>
      <c r="J564" s="25">
        <v>4026396432</v>
      </c>
      <c r="K564" s="188">
        <v>30367</v>
      </c>
      <c r="L564" s="23" t="s">
        <v>1527</v>
      </c>
      <c r="M564" s="23" t="s">
        <v>10</v>
      </c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</row>
    <row r="565" spans="1:31" x14ac:dyDescent="0.3">
      <c r="A565" s="176" t="s">
        <v>1078</v>
      </c>
      <c r="B565" s="176" t="s">
        <v>1079</v>
      </c>
      <c r="C565" s="25">
        <v>7062121334</v>
      </c>
      <c r="D565" s="188">
        <v>31933</v>
      </c>
      <c r="E565" s="23" t="s">
        <v>1808</v>
      </c>
      <c r="F565" s="23" t="s">
        <v>10</v>
      </c>
      <c r="G565" s="188"/>
      <c r="H565" s="176" t="s">
        <v>1078</v>
      </c>
      <c r="I565" s="176" t="s">
        <v>1079</v>
      </c>
      <c r="J565" s="25">
        <v>7062121334</v>
      </c>
      <c r="K565" s="188">
        <v>31933</v>
      </c>
      <c r="L565" s="23" t="s">
        <v>1808</v>
      </c>
      <c r="M565" s="23" t="s">
        <v>10</v>
      </c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</row>
    <row r="566" spans="1:31" x14ac:dyDescent="0.3">
      <c r="A566" s="176" t="s">
        <v>1080</v>
      </c>
      <c r="B566" s="176" t="s">
        <v>719</v>
      </c>
      <c r="C566" s="25">
        <v>7177091949</v>
      </c>
      <c r="D566" s="188">
        <v>32417</v>
      </c>
      <c r="E566" s="23" t="s">
        <v>1809</v>
      </c>
      <c r="F566" s="23" t="s">
        <v>10</v>
      </c>
      <c r="G566" s="188"/>
      <c r="H566" s="176" t="s">
        <v>1080</v>
      </c>
      <c r="I566" s="176" t="s">
        <v>719</v>
      </c>
      <c r="J566" s="25">
        <v>7177091949</v>
      </c>
      <c r="K566" s="188">
        <v>32417</v>
      </c>
      <c r="L566" s="23" t="s">
        <v>1809</v>
      </c>
      <c r="M566" s="23" t="s">
        <v>10</v>
      </c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</row>
    <row r="567" spans="1:31" x14ac:dyDescent="0.3">
      <c r="A567" s="176" t="s">
        <v>1081</v>
      </c>
      <c r="B567" s="176" t="s">
        <v>942</v>
      </c>
      <c r="C567" s="25">
        <v>2154269081</v>
      </c>
      <c r="D567" s="188">
        <v>32648</v>
      </c>
      <c r="E567" s="23" t="s">
        <v>1810</v>
      </c>
      <c r="F567" s="23" t="s">
        <v>10</v>
      </c>
      <c r="G567" s="188"/>
      <c r="H567" s="176" t="s">
        <v>1081</v>
      </c>
      <c r="I567" s="176" t="s">
        <v>942</v>
      </c>
      <c r="J567" s="25">
        <v>2154269081</v>
      </c>
      <c r="K567" s="188">
        <v>32648</v>
      </c>
      <c r="L567" s="23" t="s">
        <v>1810</v>
      </c>
      <c r="M567" s="23" t="s">
        <v>10</v>
      </c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</row>
    <row r="568" spans="1:31" x14ac:dyDescent="0.3">
      <c r="A568" s="176" t="s">
        <v>208</v>
      </c>
      <c r="B568" s="176" t="s">
        <v>209</v>
      </c>
      <c r="C568" s="64">
        <v>6126795200</v>
      </c>
      <c r="D568" s="188">
        <v>32663</v>
      </c>
      <c r="E568" s="23" t="s">
        <v>1811</v>
      </c>
      <c r="F568" s="24" t="s">
        <v>10</v>
      </c>
      <c r="G568" s="188"/>
      <c r="H568" s="176" t="s">
        <v>208</v>
      </c>
      <c r="I568" s="176" t="s">
        <v>209</v>
      </c>
      <c r="J568" s="64">
        <v>6126795200</v>
      </c>
      <c r="K568" s="188">
        <v>32663</v>
      </c>
      <c r="L568" s="23" t="s">
        <v>1811</v>
      </c>
      <c r="M568" s="24" t="s">
        <v>10</v>
      </c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</row>
    <row r="569" spans="1:31" x14ac:dyDescent="0.3">
      <c r="A569" s="176" t="s">
        <v>1082</v>
      </c>
      <c r="B569" s="176" t="s">
        <v>423</v>
      </c>
      <c r="C569" s="25">
        <v>9016012031</v>
      </c>
      <c r="D569" s="188">
        <v>32789</v>
      </c>
      <c r="E569" s="23" t="s">
        <v>1812</v>
      </c>
      <c r="F569" s="23" t="s">
        <v>33</v>
      </c>
      <c r="G569" s="188"/>
      <c r="H569" s="176" t="s">
        <v>1082</v>
      </c>
      <c r="I569" s="176" t="s">
        <v>423</v>
      </c>
      <c r="J569" s="25">
        <v>9016012031</v>
      </c>
      <c r="K569" s="188">
        <v>32789</v>
      </c>
      <c r="L569" s="23" t="s">
        <v>1812</v>
      </c>
      <c r="M569" s="23" t="s">
        <v>33</v>
      </c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</row>
    <row r="570" spans="1:31" x14ac:dyDescent="0.3">
      <c r="A570" s="176" t="s">
        <v>1083</v>
      </c>
      <c r="B570" s="176" t="s">
        <v>1084</v>
      </c>
      <c r="C570" s="25">
        <v>3168356334</v>
      </c>
      <c r="D570" s="188">
        <v>30152</v>
      </c>
      <c r="E570" s="23" t="s">
        <v>1813</v>
      </c>
      <c r="F570" s="23" t="s">
        <v>10</v>
      </c>
      <c r="G570" s="188"/>
      <c r="H570" s="176" t="s">
        <v>1083</v>
      </c>
      <c r="I570" s="176" t="s">
        <v>1084</v>
      </c>
      <c r="J570" s="25">
        <v>3168356334</v>
      </c>
      <c r="K570" s="188">
        <v>30152</v>
      </c>
      <c r="L570" s="23" t="s">
        <v>1813</v>
      </c>
      <c r="M570" s="23" t="s">
        <v>10</v>
      </c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</row>
    <row r="571" spans="1:31" x14ac:dyDescent="0.3">
      <c r="A571" s="176" t="s">
        <v>1085</v>
      </c>
      <c r="B571" s="176" t="s">
        <v>310</v>
      </c>
      <c r="C571" s="25">
        <v>3012224790</v>
      </c>
      <c r="D571" s="188">
        <v>33961</v>
      </c>
      <c r="E571" s="23" t="s">
        <v>1810</v>
      </c>
      <c r="F571" s="23" t="s">
        <v>10</v>
      </c>
      <c r="G571" s="188"/>
      <c r="H571" s="176" t="s">
        <v>1085</v>
      </c>
      <c r="I571" s="176" t="s">
        <v>310</v>
      </c>
      <c r="J571" s="25">
        <v>3012224790</v>
      </c>
      <c r="K571" s="188">
        <v>33961</v>
      </c>
      <c r="L571" s="23" t="s">
        <v>1810</v>
      </c>
      <c r="M571" s="23" t="s">
        <v>10</v>
      </c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</row>
    <row r="572" spans="1:31" x14ac:dyDescent="0.3">
      <c r="A572" s="176" t="s">
        <v>1086</v>
      </c>
      <c r="B572" s="176" t="s">
        <v>1087</v>
      </c>
      <c r="C572" s="25">
        <v>6125048978</v>
      </c>
      <c r="D572" s="188">
        <v>28848</v>
      </c>
      <c r="E572" s="23" t="s">
        <v>1814</v>
      </c>
      <c r="F572" s="23" t="s">
        <v>10</v>
      </c>
      <c r="G572" s="188"/>
      <c r="H572" s="176" t="s">
        <v>1086</v>
      </c>
      <c r="I572" s="176" t="s">
        <v>1087</v>
      </c>
      <c r="J572" s="25">
        <v>6125048978</v>
      </c>
      <c r="K572" s="188">
        <v>28848</v>
      </c>
      <c r="L572" s="23" t="s">
        <v>1814</v>
      </c>
      <c r="M572" s="23" t="s">
        <v>10</v>
      </c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</row>
    <row r="573" spans="1:31" x14ac:dyDescent="0.3">
      <c r="A573" s="176" t="s">
        <v>1088</v>
      </c>
      <c r="B573" s="176" t="s">
        <v>348</v>
      </c>
      <c r="C573" s="25">
        <v>9174744493</v>
      </c>
      <c r="D573" s="188">
        <v>30631</v>
      </c>
      <c r="E573" s="23" t="s">
        <v>1815</v>
      </c>
      <c r="F573" s="23" t="s">
        <v>10</v>
      </c>
      <c r="G573" s="188"/>
      <c r="H573" s="176" t="s">
        <v>1088</v>
      </c>
      <c r="I573" s="176" t="s">
        <v>348</v>
      </c>
      <c r="J573" s="25">
        <v>9174744493</v>
      </c>
      <c r="K573" s="188">
        <v>30631</v>
      </c>
      <c r="L573" s="23" t="s">
        <v>1815</v>
      </c>
      <c r="M573" s="23" t="s">
        <v>10</v>
      </c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</row>
    <row r="574" spans="1:31" x14ac:dyDescent="0.3">
      <c r="A574" s="176" t="s">
        <v>1089</v>
      </c>
      <c r="B574" s="176" t="s">
        <v>1090</v>
      </c>
      <c r="C574" s="25">
        <v>3028400261</v>
      </c>
      <c r="D574" s="188">
        <v>28311</v>
      </c>
      <c r="E574" s="23" t="s">
        <v>1816</v>
      </c>
      <c r="F574" s="23" t="s">
        <v>10</v>
      </c>
      <c r="G574" s="188"/>
      <c r="H574" s="176" t="s">
        <v>1089</v>
      </c>
      <c r="I574" s="176" t="s">
        <v>1090</v>
      </c>
      <c r="J574" s="25">
        <v>3028400261</v>
      </c>
      <c r="K574" s="188">
        <v>28311</v>
      </c>
      <c r="L574" s="23" t="s">
        <v>1816</v>
      </c>
      <c r="M574" s="23" t="s">
        <v>10</v>
      </c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</row>
    <row r="575" spans="1:31" x14ac:dyDescent="0.3">
      <c r="A575" s="176" t="s">
        <v>1091</v>
      </c>
      <c r="B575" s="176" t="s">
        <v>1092</v>
      </c>
      <c r="C575" s="25">
        <v>6185035104</v>
      </c>
      <c r="D575" s="188">
        <v>29702</v>
      </c>
      <c r="E575" s="23" t="s">
        <v>1817</v>
      </c>
      <c r="F575" s="23" t="s">
        <v>10</v>
      </c>
      <c r="G575" s="188"/>
      <c r="H575" s="176" t="s">
        <v>1091</v>
      </c>
      <c r="I575" s="176" t="s">
        <v>1092</v>
      </c>
      <c r="J575" s="25">
        <v>6185035104</v>
      </c>
      <c r="K575" s="188">
        <v>29702</v>
      </c>
      <c r="L575" s="23" t="s">
        <v>1817</v>
      </c>
      <c r="M575" s="23" t="s">
        <v>10</v>
      </c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</row>
    <row r="576" spans="1:31" x14ac:dyDescent="0.3">
      <c r="A576" s="176" t="s">
        <v>1093</v>
      </c>
      <c r="B576" s="176" t="s">
        <v>1094</v>
      </c>
      <c r="C576" s="25">
        <v>2126632360</v>
      </c>
      <c r="D576" s="188">
        <v>32694</v>
      </c>
      <c r="E576" s="23" t="s">
        <v>1818</v>
      </c>
      <c r="F576" s="23" t="s">
        <v>10</v>
      </c>
      <c r="G576" s="188"/>
      <c r="H576" s="176" t="s">
        <v>1093</v>
      </c>
      <c r="I576" s="176" t="s">
        <v>1094</v>
      </c>
      <c r="J576" s="25">
        <v>2126632360</v>
      </c>
      <c r="K576" s="188">
        <v>32694</v>
      </c>
      <c r="L576" s="23" t="s">
        <v>1818</v>
      </c>
      <c r="M576" s="23" t="s">
        <v>10</v>
      </c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</row>
    <row r="577" spans="1:31" x14ac:dyDescent="0.3">
      <c r="A577" s="176" t="s">
        <v>1095</v>
      </c>
      <c r="B577" s="176" t="s">
        <v>1096</v>
      </c>
      <c r="C577" s="25">
        <v>5113709408</v>
      </c>
      <c r="D577" s="188">
        <v>27859</v>
      </c>
      <c r="E577" s="23" t="s">
        <v>1819</v>
      </c>
      <c r="F577" s="23" t="s">
        <v>18</v>
      </c>
      <c r="G577" s="188"/>
      <c r="H577" s="176" t="s">
        <v>1095</v>
      </c>
      <c r="I577" s="176" t="s">
        <v>1096</v>
      </c>
      <c r="J577" s="25">
        <v>5113709408</v>
      </c>
      <c r="K577" s="188">
        <v>27859</v>
      </c>
      <c r="L577" s="23" t="s">
        <v>1819</v>
      </c>
      <c r="M577" s="23" t="s">
        <v>18</v>
      </c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</row>
    <row r="578" spans="1:31" x14ac:dyDescent="0.3">
      <c r="A578" s="176" t="s">
        <v>1097</v>
      </c>
      <c r="B578" s="176" t="s">
        <v>1098</v>
      </c>
      <c r="C578" s="25">
        <v>9091509619</v>
      </c>
      <c r="D578" s="188">
        <v>27858</v>
      </c>
      <c r="E578" s="23" t="s">
        <v>1820</v>
      </c>
      <c r="F578" s="23" t="s">
        <v>10</v>
      </c>
      <c r="G578" s="188"/>
      <c r="H578" s="176" t="s">
        <v>1097</v>
      </c>
      <c r="I578" s="176" t="s">
        <v>1098</v>
      </c>
      <c r="J578" s="25">
        <v>9091509619</v>
      </c>
      <c r="K578" s="188">
        <v>27858</v>
      </c>
      <c r="L578" s="23" t="s">
        <v>1820</v>
      </c>
      <c r="M578" s="23" t="s">
        <v>10</v>
      </c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</row>
    <row r="579" spans="1:31" x14ac:dyDescent="0.3">
      <c r="A579" s="176" t="s">
        <v>1099</v>
      </c>
      <c r="B579" s="176" t="s">
        <v>1100</v>
      </c>
      <c r="C579" s="25">
        <v>4041362796</v>
      </c>
      <c r="D579" s="188">
        <v>35747</v>
      </c>
      <c r="E579" s="23" t="s">
        <v>1821</v>
      </c>
      <c r="F579" s="23" t="s">
        <v>6</v>
      </c>
      <c r="G579" s="188"/>
      <c r="H579" s="176" t="s">
        <v>1099</v>
      </c>
      <c r="I579" s="176" t="s">
        <v>1100</v>
      </c>
      <c r="J579" s="25">
        <v>4041362796</v>
      </c>
      <c r="K579" s="188">
        <v>35747</v>
      </c>
      <c r="L579" s="23" t="s">
        <v>1821</v>
      </c>
      <c r="M579" s="23" t="s">
        <v>6</v>
      </c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</row>
    <row r="580" spans="1:31" x14ac:dyDescent="0.3">
      <c r="A580" s="176" t="s">
        <v>1101</v>
      </c>
      <c r="B580" s="176" t="s">
        <v>395</v>
      </c>
      <c r="C580" s="25">
        <v>3128857217</v>
      </c>
      <c r="D580" s="188">
        <v>29671</v>
      </c>
      <c r="E580" s="23" t="s">
        <v>1576</v>
      </c>
      <c r="F580" s="23" t="s">
        <v>10</v>
      </c>
      <c r="G580" s="188"/>
      <c r="H580" s="176" t="s">
        <v>1101</v>
      </c>
      <c r="I580" s="176" t="s">
        <v>395</v>
      </c>
      <c r="J580" s="25">
        <v>3128857217</v>
      </c>
      <c r="K580" s="188">
        <v>29671</v>
      </c>
      <c r="L580" s="23" t="s">
        <v>1576</v>
      </c>
      <c r="M580" s="23" t="s">
        <v>10</v>
      </c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</row>
    <row r="581" spans="1:31" x14ac:dyDescent="0.3">
      <c r="A581" s="176" t="s">
        <v>1102</v>
      </c>
      <c r="B581" s="176" t="s">
        <v>279</v>
      </c>
      <c r="C581" s="25">
        <v>8076648050</v>
      </c>
      <c r="D581" s="188">
        <v>35708</v>
      </c>
      <c r="E581" s="23" t="s">
        <v>1822</v>
      </c>
      <c r="F581" s="23" t="s">
        <v>10</v>
      </c>
      <c r="G581" s="188"/>
      <c r="H581" s="176" t="s">
        <v>1102</v>
      </c>
      <c r="I581" s="176" t="s">
        <v>279</v>
      </c>
      <c r="J581" s="25">
        <v>8076648050</v>
      </c>
      <c r="K581" s="188">
        <v>35708</v>
      </c>
      <c r="L581" s="23" t="s">
        <v>1822</v>
      </c>
      <c r="M581" s="23" t="s">
        <v>10</v>
      </c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</row>
    <row r="582" spans="1:31" x14ac:dyDescent="0.3">
      <c r="A582" s="176" t="s">
        <v>1103</v>
      </c>
      <c r="B582" s="176" t="s">
        <v>800</v>
      </c>
      <c r="C582" s="25">
        <v>8162842668</v>
      </c>
      <c r="D582" s="188">
        <v>28497</v>
      </c>
      <c r="E582" s="23" t="s">
        <v>1823</v>
      </c>
      <c r="F582" s="23" t="s">
        <v>6</v>
      </c>
      <c r="G582" s="188"/>
      <c r="H582" s="176" t="s">
        <v>1103</v>
      </c>
      <c r="I582" s="176" t="s">
        <v>800</v>
      </c>
      <c r="J582" s="25">
        <v>8162842668</v>
      </c>
      <c r="K582" s="188">
        <v>28497</v>
      </c>
      <c r="L582" s="23" t="s">
        <v>1823</v>
      </c>
      <c r="M582" s="23" t="s">
        <v>6</v>
      </c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</row>
    <row r="583" spans="1:31" x14ac:dyDescent="0.3">
      <c r="A583" s="176" t="s">
        <v>1104</v>
      </c>
      <c r="B583" s="176" t="s">
        <v>395</v>
      </c>
      <c r="C583" s="25">
        <v>3091952821</v>
      </c>
      <c r="D583" s="188">
        <v>29369</v>
      </c>
      <c r="E583" s="23" t="s">
        <v>1824</v>
      </c>
      <c r="F583" s="23" t="s">
        <v>10</v>
      </c>
      <c r="G583" s="188"/>
      <c r="H583" s="176" t="s">
        <v>1104</v>
      </c>
      <c r="I583" s="176" t="s">
        <v>395</v>
      </c>
      <c r="J583" s="25">
        <v>3091952821</v>
      </c>
      <c r="K583" s="188">
        <v>29369</v>
      </c>
      <c r="L583" s="23" t="s">
        <v>1824</v>
      </c>
      <c r="M583" s="23" t="s">
        <v>10</v>
      </c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</row>
    <row r="584" spans="1:31" x14ac:dyDescent="0.3">
      <c r="A584" s="176" t="s">
        <v>224</v>
      </c>
      <c r="B584" s="176" t="s">
        <v>225</v>
      </c>
      <c r="C584" s="25">
        <v>5028467597</v>
      </c>
      <c r="D584" s="188">
        <v>29787</v>
      </c>
      <c r="E584" s="23" t="s">
        <v>1825</v>
      </c>
      <c r="F584" s="23" t="s">
        <v>18</v>
      </c>
      <c r="G584" s="188"/>
      <c r="H584" s="176" t="s">
        <v>224</v>
      </c>
      <c r="I584" s="176" t="s">
        <v>225</v>
      </c>
      <c r="J584" s="25">
        <v>5028467597</v>
      </c>
      <c r="K584" s="188">
        <v>29787</v>
      </c>
      <c r="L584" s="23" t="s">
        <v>1825</v>
      </c>
      <c r="M584" s="23" t="s">
        <v>18</v>
      </c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</row>
    <row r="585" spans="1:31" x14ac:dyDescent="0.3">
      <c r="A585" s="176" t="s">
        <v>224</v>
      </c>
      <c r="B585" s="176" t="s">
        <v>1105</v>
      </c>
      <c r="C585" s="25">
        <v>2136742736</v>
      </c>
      <c r="D585" s="188">
        <v>35194</v>
      </c>
      <c r="E585" s="23" t="s">
        <v>1826</v>
      </c>
      <c r="F585" s="23" t="s">
        <v>10</v>
      </c>
      <c r="G585" s="188"/>
      <c r="H585" s="176" t="s">
        <v>224</v>
      </c>
      <c r="I585" s="176" t="s">
        <v>1105</v>
      </c>
      <c r="J585" s="25">
        <v>2136742736</v>
      </c>
      <c r="K585" s="188">
        <v>35194</v>
      </c>
      <c r="L585" s="23" t="s">
        <v>1826</v>
      </c>
      <c r="M585" s="23" t="s">
        <v>10</v>
      </c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</row>
    <row r="586" spans="1:31" x14ac:dyDescent="0.3">
      <c r="A586" s="176" t="s">
        <v>1106</v>
      </c>
      <c r="B586" s="176" t="s">
        <v>627</v>
      </c>
      <c r="C586" s="25">
        <v>6072259651</v>
      </c>
      <c r="D586" s="188">
        <v>28025</v>
      </c>
      <c r="E586" s="23" t="s">
        <v>1827</v>
      </c>
      <c r="F586" s="23" t="s">
        <v>10</v>
      </c>
      <c r="G586" s="188"/>
      <c r="H586" s="176" t="s">
        <v>1106</v>
      </c>
      <c r="I586" s="176" t="s">
        <v>627</v>
      </c>
      <c r="J586" s="25">
        <v>6072259651</v>
      </c>
      <c r="K586" s="188">
        <v>28025</v>
      </c>
      <c r="L586" s="23" t="s">
        <v>1827</v>
      </c>
      <c r="M586" s="23" t="s">
        <v>10</v>
      </c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</row>
    <row r="587" spans="1:31" x14ac:dyDescent="0.3">
      <c r="A587" s="176" t="s">
        <v>1107</v>
      </c>
      <c r="B587" s="176" t="s">
        <v>285</v>
      </c>
      <c r="C587" s="25">
        <v>9025789252</v>
      </c>
      <c r="D587" s="188">
        <v>27920</v>
      </c>
      <c r="E587" s="23" t="s">
        <v>1828</v>
      </c>
      <c r="F587" s="23" t="s">
        <v>10</v>
      </c>
      <c r="G587" s="188"/>
      <c r="H587" s="176" t="s">
        <v>1107</v>
      </c>
      <c r="I587" s="176" t="s">
        <v>285</v>
      </c>
      <c r="J587" s="25">
        <v>9025789252</v>
      </c>
      <c r="K587" s="188">
        <v>27920</v>
      </c>
      <c r="L587" s="23" t="s">
        <v>1828</v>
      </c>
      <c r="M587" s="23" t="s">
        <v>10</v>
      </c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</row>
    <row r="588" spans="1:31" x14ac:dyDescent="0.3">
      <c r="A588" s="176" t="s">
        <v>1108</v>
      </c>
      <c r="B588" s="176" t="s">
        <v>747</v>
      </c>
      <c r="C588" s="25">
        <v>4041800673</v>
      </c>
      <c r="D588" s="188">
        <v>28613</v>
      </c>
      <c r="E588" s="23" t="s">
        <v>1272</v>
      </c>
      <c r="F588" s="23" t="s">
        <v>10</v>
      </c>
      <c r="G588" s="188"/>
      <c r="H588" s="176" t="s">
        <v>1108</v>
      </c>
      <c r="I588" s="176" t="s">
        <v>747</v>
      </c>
      <c r="J588" s="25">
        <v>4041800673</v>
      </c>
      <c r="K588" s="188">
        <v>28613</v>
      </c>
      <c r="L588" s="23" t="s">
        <v>1272</v>
      </c>
      <c r="M588" s="23" t="s">
        <v>10</v>
      </c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</row>
    <row r="589" spans="1:31" x14ac:dyDescent="0.3">
      <c r="A589" s="176" t="s">
        <v>1109</v>
      </c>
      <c r="B589" s="176" t="s">
        <v>1110</v>
      </c>
      <c r="C589" s="25">
        <v>8194652136</v>
      </c>
      <c r="D589" s="188">
        <v>28933</v>
      </c>
      <c r="E589" s="23" t="s">
        <v>1829</v>
      </c>
      <c r="F589" s="23" t="s">
        <v>18</v>
      </c>
      <c r="G589" s="188"/>
      <c r="H589" s="176" t="s">
        <v>1109</v>
      </c>
      <c r="I589" s="176" t="s">
        <v>1110</v>
      </c>
      <c r="J589" s="25">
        <v>8194652136</v>
      </c>
      <c r="K589" s="188">
        <v>28933</v>
      </c>
      <c r="L589" s="23" t="s">
        <v>1829</v>
      </c>
      <c r="M589" s="23" t="s">
        <v>18</v>
      </c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</row>
    <row r="590" spans="1:31" x14ac:dyDescent="0.3">
      <c r="A590" s="176" t="s">
        <v>1111</v>
      </c>
      <c r="B590" s="176" t="s">
        <v>1112</v>
      </c>
      <c r="C590" s="25">
        <v>3038451642</v>
      </c>
      <c r="D590" s="188">
        <v>29787</v>
      </c>
      <c r="E590" s="23" t="s">
        <v>1830</v>
      </c>
      <c r="F590" s="23" t="s">
        <v>6</v>
      </c>
      <c r="G590" s="188"/>
      <c r="H590" s="176" t="s">
        <v>1111</v>
      </c>
      <c r="I590" s="176" t="s">
        <v>1112</v>
      </c>
      <c r="J590" s="25">
        <v>3038451642</v>
      </c>
      <c r="K590" s="188">
        <v>29787</v>
      </c>
      <c r="L590" s="23" t="s">
        <v>1830</v>
      </c>
      <c r="M590" s="23" t="s">
        <v>6</v>
      </c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</row>
    <row r="591" spans="1:31" x14ac:dyDescent="0.3">
      <c r="A591" s="176" t="s">
        <v>165</v>
      </c>
      <c r="B591" s="176" t="s">
        <v>205</v>
      </c>
      <c r="C591" s="25">
        <v>2071641031</v>
      </c>
      <c r="D591" s="188">
        <v>30496</v>
      </c>
      <c r="E591" s="23" t="s">
        <v>1831</v>
      </c>
      <c r="F591" s="23" t="s">
        <v>6</v>
      </c>
      <c r="G591" s="188"/>
      <c r="H591" s="176" t="s">
        <v>165</v>
      </c>
      <c r="I591" s="176" t="s">
        <v>205</v>
      </c>
      <c r="J591" s="25">
        <v>2071641031</v>
      </c>
      <c r="K591" s="188">
        <v>30496</v>
      </c>
      <c r="L591" s="23" t="s">
        <v>1831</v>
      </c>
      <c r="M591" s="23" t="s">
        <v>6</v>
      </c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</row>
    <row r="592" spans="1:31" x14ac:dyDescent="0.3">
      <c r="A592" s="176" t="s">
        <v>165</v>
      </c>
      <c r="B592" s="176" t="s">
        <v>226</v>
      </c>
      <c r="C592" s="25">
        <v>2033695179</v>
      </c>
      <c r="D592" s="188">
        <v>34693</v>
      </c>
      <c r="E592" s="23" t="s">
        <v>1832</v>
      </c>
      <c r="F592" s="23" t="s">
        <v>10</v>
      </c>
      <c r="G592" s="188"/>
      <c r="H592" s="176" t="s">
        <v>165</v>
      </c>
      <c r="I592" s="176" t="s">
        <v>226</v>
      </c>
      <c r="J592" s="25">
        <v>2033695179</v>
      </c>
      <c r="K592" s="188">
        <v>34693</v>
      </c>
      <c r="L592" s="23" t="s">
        <v>1832</v>
      </c>
      <c r="M592" s="23" t="s">
        <v>10</v>
      </c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</row>
    <row r="593" spans="1:31" x14ac:dyDescent="0.3">
      <c r="A593" s="176" t="s">
        <v>165</v>
      </c>
      <c r="B593" s="176" t="s">
        <v>227</v>
      </c>
      <c r="C593" s="25">
        <v>5137961953</v>
      </c>
      <c r="D593" s="188">
        <v>29899</v>
      </c>
      <c r="E593" s="23" t="s">
        <v>1833</v>
      </c>
      <c r="F593" s="23" t="s">
        <v>10</v>
      </c>
      <c r="G593" s="188"/>
      <c r="H593" s="176" t="s">
        <v>165</v>
      </c>
      <c r="I593" s="176" t="s">
        <v>227</v>
      </c>
      <c r="J593" s="25">
        <v>5137961953</v>
      </c>
      <c r="K593" s="188">
        <v>29899</v>
      </c>
      <c r="L593" s="23" t="s">
        <v>1833</v>
      </c>
      <c r="M593" s="23" t="s">
        <v>10</v>
      </c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</row>
    <row r="594" spans="1:31" x14ac:dyDescent="0.3">
      <c r="A594" s="176" t="s">
        <v>165</v>
      </c>
      <c r="B594" s="176" t="s">
        <v>236</v>
      </c>
      <c r="C594" s="25">
        <v>7025299873</v>
      </c>
      <c r="D594" s="188">
        <v>33339</v>
      </c>
      <c r="E594" s="23" t="s">
        <v>1834</v>
      </c>
      <c r="F594" s="23" t="s">
        <v>6</v>
      </c>
      <c r="G594" s="188"/>
      <c r="H594" s="176" t="s">
        <v>165</v>
      </c>
      <c r="I594" s="176" t="s">
        <v>236</v>
      </c>
      <c r="J594" s="25">
        <v>7025299873</v>
      </c>
      <c r="K594" s="188">
        <v>33339</v>
      </c>
      <c r="L594" s="23" t="s">
        <v>1834</v>
      </c>
      <c r="M594" s="23" t="s">
        <v>6</v>
      </c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</row>
    <row r="595" spans="1:31" x14ac:dyDescent="0.3">
      <c r="A595" s="176" t="s">
        <v>165</v>
      </c>
      <c r="B595" s="176" t="s">
        <v>261</v>
      </c>
      <c r="C595" s="25">
        <v>8052474315</v>
      </c>
      <c r="D595" s="188">
        <v>34836</v>
      </c>
      <c r="E595" s="23" t="s">
        <v>1835</v>
      </c>
      <c r="F595" s="23" t="s">
        <v>10</v>
      </c>
      <c r="G595" s="188"/>
      <c r="H595" s="176" t="s">
        <v>165</v>
      </c>
      <c r="I595" s="176" t="s">
        <v>261</v>
      </c>
      <c r="J595" s="25">
        <v>8052474315</v>
      </c>
      <c r="K595" s="188">
        <v>34836</v>
      </c>
      <c r="L595" s="23" t="s">
        <v>1835</v>
      </c>
      <c r="M595" s="23" t="s">
        <v>10</v>
      </c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</row>
    <row r="596" spans="1:31" x14ac:dyDescent="0.3">
      <c r="A596" s="176" t="s">
        <v>165</v>
      </c>
      <c r="B596" s="176" t="s">
        <v>1113</v>
      </c>
      <c r="C596" s="25">
        <v>3155610944</v>
      </c>
      <c r="D596" s="188">
        <v>30039</v>
      </c>
      <c r="E596" s="23" t="s">
        <v>1836</v>
      </c>
      <c r="F596" s="23" t="s">
        <v>10</v>
      </c>
      <c r="G596" s="188"/>
      <c r="H596" s="176" t="s">
        <v>165</v>
      </c>
      <c r="I596" s="176" t="s">
        <v>1113</v>
      </c>
      <c r="J596" s="25">
        <v>3155610944</v>
      </c>
      <c r="K596" s="188">
        <v>30039</v>
      </c>
      <c r="L596" s="23" t="s">
        <v>1836</v>
      </c>
      <c r="M596" s="23" t="s">
        <v>10</v>
      </c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</row>
    <row r="597" spans="1:31" x14ac:dyDescent="0.3">
      <c r="A597" s="176" t="s">
        <v>1114</v>
      </c>
      <c r="B597" s="176" t="s">
        <v>1115</v>
      </c>
      <c r="C597" s="25">
        <v>8091696804</v>
      </c>
      <c r="D597" s="188">
        <v>29379</v>
      </c>
      <c r="E597" s="23" t="s">
        <v>1837</v>
      </c>
      <c r="F597" s="23" t="s">
        <v>10</v>
      </c>
      <c r="G597" s="188"/>
      <c r="H597" s="176" t="s">
        <v>1114</v>
      </c>
      <c r="I597" s="176" t="s">
        <v>1115</v>
      </c>
      <c r="J597" s="25">
        <v>8091696804</v>
      </c>
      <c r="K597" s="188">
        <v>29379</v>
      </c>
      <c r="L597" s="23" t="s">
        <v>1837</v>
      </c>
      <c r="M597" s="23" t="s">
        <v>10</v>
      </c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</row>
    <row r="598" spans="1:31" x14ac:dyDescent="0.3">
      <c r="A598" s="176" t="s">
        <v>1116</v>
      </c>
      <c r="B598" s="176" t="s">
        <v>497</v>
      </c>
      <c r="C598" s="25">
        <v>4092814530</v>
      </c>
      <c r="D598" s="188">
        <v>35625</v>
      </c>
      <c r="E598" s="23" t="s">
        <v>1838</v>
      </c>
      <c r="F598" s="23" t="s">
        <v>10</v>
      </c>
      <c r="G598" s="188"/>
      <c r="H598" s="176" t="s">
        <v>1116</v>
      </c>
      <c r="I598" s="176" t="s">
        <v>497</v>
      </c>
      <c r="J598" s="25">
        <v>4092814530</v>
      </c>
      <c r="K598" s="188">
        <v>35625</v>
      </c>
      <c r="L598" s="23" t="s">
        <v>1838</v>
      </c>
      <c r="M598" s="23" t="s">
        <v>10</v>
      </c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</row>
    <row r="599" spans="1:31" x14ac:dyDescent="0.3">
      <c r="A599" s="176" t="s">
        <v>1117</v>
      </c>
      <c r="B599" s="176" t="s">
        <v>690</v>
      </c>
      <c r="C599" s="25">
        <v>8178631557</v>
      </c>
      <c r="D599" s="188">
        <v>29487</v>
      </c>
      <c r="E599" s="23" t="s">
        <v>1839</v>
      </c>
      <c r="F599" s="23" t="s">
        <v>6</v>
      </c>
      <c r="G599" s="188"/>
      <c r="H599" s="176" t="s">
        <v>1117</v>
      </c>
      <c r="I599" s="176" t="s">
        <v>690</v>
      </c>
      <c r="J599" s="25">
        <v>8178631557</v>
      </c>
      <c r="K599" s="188">
        <v>29487</v>
      </c>
      <c r="L599" s="23" t="s">
        <v>1839</v>
      </c>
      <c r="M599" s="23" t="s">
        <v>6</v>
      </c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</row>
    <row r="600" spans="1:31" x14ac:dyDescent="0.3">
      <c r="A600" s="176" t="s">
        <v>1118</v>
      </c>
      <c r="B600" s="176" t="s">
        <v>322</v>
      </c>
      <c r="C600" s="25">
        <v>6057135797</v>
      </c>
      <c r="D600" s="188">
        <v>28537</v>
      </c>
      <c r="E600" s="23" t="s">
        <v>1840</v>
      </c>
      <c r="F600" s="23" t="s">
        <v>6</v>
      </c>
      <c r="G600" s="188"/>
      <c r="H600" s="176" t="s">
        <v>1118</v>
      </c>
      <c r="I600" s="176" t="s">
        <v>322</v>
      </c>
      <c r="J600" s="25">
        <v>6057135797</v>
      </c>
      <c r="K600" s="188">
        <v>28537</v>
      </c>
      <c r="L600" s="23" t="s">
        <v>1840</v>
      </c>
      <c r="M600" s="23" t="s">
        <v>6</v>
      </c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</row>
    <row r="601" spans="1:31" x14ac:dyDescent="0.3">
      <c r="A601" s="176" t="s">
        <v>1119</v>
      </c>
      <c r="B601" s="176" t="s">
        <v>405</v>
      </c>
      <c r="C601" s="25">
        <v>6147179128</v>
      </c>
      <c r="D601" s="188">
        <v>30367</v>
      </c>
      <c r="E601" s="23" t="s">
        <v>1506</v>
      </c>
      <c r="F601" s="23" t="s">
        <v>10</v>
      </c>
      <c r="G601" s="188"/>
      <c r="H601" s="176" t="s">
        <v>1119</v>
      </c>
      <c r="I601" s="176" t="s">
        <v>405</v>
      </c>
      <c r="J601" s="25">
        <v>6147179128</v>
      </c>
      <c r="K601" s="188">
        <v>30367</v>
      </c>
      <c r="L601" s="23" t="s">
        <v>1506</v>
      </c>
      <c r="M601" s="23" t="s">
        <v>10</v>
      </c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</row>
    <row r="602" spans="1:31" x14ac:dyDescent="0.3">
      <c r="A602" s="176" t="s">
        <v>1120</v>
      </c>
      <c r="B602" s="176" t="s">
        <v>1121</v>
      </c>
      <c r="C602" s="25">
        <v>2133431009</v>
      </c>
      <c r="D602" s="188">
        <v>31933</v>
      </c>
      <c r="E602" s="23" t="s">
        <v>1811</v>
      </c>
      <c r="F602" s="23" t="s">
        <v>6</v>
      </c>
      <c r="G602" s="188"/>
      <c r="H602" s="176" t="s">
        <v>1120</v>
      </c>
      <c r="I602" s="176" t="s">
        <v>1121</v>
      </c>
      <c r="J602" s="25">
        <v>2133431009</v>
      </c>
      <c r="K602" s="188">
        <v>31933</v>
      </c>
      <c r="L602" s="23" t="s">
        <v>1811</v>
      </c>
      <c r="M602" s="23" t="s">
        <v>6</v>
      </c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</row>
    <row r="603" spans="1:31" x14ac:dyDescent="0.3">
      <c r="A603" s="176" t="s">
        <v>1122</v>
      </c>
      <c r="B603" s="176" t="s">
        <v>930</v>
      </c>
      <c r="C603" s="25">
        <v>3093848677</v>
      </c>
      <c r="D603" s="188">
        <v>32417</v>
      </c>
      <c r="E603" s="23" t="s">
        <v>1841</v>
      </c>
      <c r="F603" s="23" t="s">
        <v>6</v>
      </c>
      <c r="G603" s="188"/>
      <c r="H603" s="176" t="s">
        <v>1122</v>
      </c>
      <c r="I603" s="176" t="s">
        <v>930</v>
      </c>
      <c r="J603" s="25">
        <v>3093848677</v>
      </c>
      <c r="K603" s="188">
        <v>32417</v>
      </c>
      <c r="L603" s="23" t="s">
        <v>1841</v>
      </c>
      <c r="M603" s="23" t="s">
        <v>6</v>
      </c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</row>
    <row r="604" spans="1:31" x14ac:dyDescent="0.3">
      <c r="A604" s="176" t="s">
        <v>1123</v>
      </c>
      <c r="B604" s="176" t="s">
        <v>1124</v>
      </c>
      <c r="C604" s="25">
        <v>8156443692</v>
      </c>
      <c r="D604" s="188">
        <v>32648</v>
      </c>
      <c r="E604" s="23" t="s">
        <v>1842</v>
      </c>
      <c r="F604" s="23" t="s">
        <v>6</v>
      </c>
      <c r="G604" s="188"/>
      <c r="H604" s="176" t="s">
        <v>1123</v>
      </c>
      <c r="I604" s="176" t="s">
        <v>1124</v>
      </c>
      <c r="J604" s="25">
        <v>8156443692</v>
      </c>
      <c r="K604" s="188">
        <v>32648</v>
      </c>
      <c r="L604" s="23" t="s">
        <v>1842</v>
      </c>
      <c r="M604" s="23" t="s">
        <v>6</v>
      </c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</row>
    <row r="605" spans="1:31" x14ac:dyDescent="0.3">
      <c r="A605" s="176" t="s">
        <v>1125</v>
      </c>
      <c r="B605" s="176" t="s">
        <v>1126</v>
      </c>
      <c r="C605" s="25">
        <v>3012485673</v>
      </c>
      <c r="D605" s="188">
        <v>32663</v>
      </c>
      <c r="E605" s="23" t="s">
        <v>1843</v>
      </c>
      <c r="F605" s="23" t="s">
        <v>10</v>
      </c>
      <c r="G605" s="188"/>
      <c r="H605" s="176" t="s">
        <v>1125</v>
      </c>
      <c r="I605" s="176" t="s">
        <v>1126</v>
      </c>
      <c r="J605" s="25">
        <v>3012485673</v>
      </c>
      <c r="K605" s="188">
        <v>32663</v>
      </c>
      <c r="L605" s="23" t="s">
        <v>1843</v>
      </c>
      <c r="M605" s="23" t="s">
        <v>10</v>
      </c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</row>
    <row r="606" spans="1:31" x14ac:dyDescent="0.3">
      <c r="A606" s="176" t="s">
        <v>1127</v>
      </c>
      <c r="B606" s="176" t="s">
        <v>314</v>
      </c>
      <c r="C606" s="25">
        <v>4033891189</v>
      </c>
      <c r="D606" s="188">
        <v>32789</v>
      </c>
      <c r="E606" s="23" t="s">
        <v>1844</v>
      </c>
      <c r="F606" s="23" t="s">
        <v>33</v>
      </c>
      <c r="G606" s="188"/>
      <c r="H606" s="176" t="s">
        <v>1127</v>
      </c>
      <c r="I606" s="176" t="s">
        <v>314</v>
      </c>
      <c r="J606" s="25">
        <v>4033891189</v>
      </c>
      <c r="K606" s="188">
        <v>32789</v>
      </c>
      <c r="L606" s="23" t="s">
        <v>1844</v>
      </c>
      <c r="M606" s="23" t="s">
        <v>33</v>
      </c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</row>
    <row r="607" spans="1:31" x14ac:dyDescent="0.3">
      <c r="A607" s="176" t="s">
        <v>1128</v>
      </c>
      <c r="B607" s="176" t="s">
        <v>1129</v>
      </c>
      <c r="C607" s="25">
        <v>2018310129</v>
      </c>
      <c r="D607" s="188">
        <v>32694</v>
      </c>
      <c r="E607" s="23" t="s">
        <v>1845</v>
      </c>
      <c r="F607" s="23" t="s">
        <v>10</v>
      </c>
      <c r="G607" s="188"/>
      <c r="H607" s="176" t="s">
        <v>1128</v>
      </c>
      <c r="I607" s="176" t="s">
        <v>1129</v>
      </c>
      <c r="J607" s="25">
        <v>2018310129</v>
      </c>
      <c r="K607" s="188">
        <v>32694</v>
      </c>
      <c r="L607" s="23" t="s">
        <v>1845</v>
      </c>
      <c r="M607" s="23" t="s">
        <v>10</v>
      </c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</row>
    <row r="608" spans="1:31" ht="26.4" x14ac:dyDescent="0.3">
      <c r="A608" s="176" t="s">
        <v>1130</v>
      </c>
      <c r="B608" s="176" t="s">
        <v>499</v>
      </c>
      <c r="C608" s="25">
        <v>7061971988</v>
      </c>
      <c r="D608" s="188">
        <v>27859</v>
      </c>
      <c r="E608" s="23" t="s">
        <v>1846</v>
      </c>
      <c r="F608" s="23" t="s">
        <v>10</v>
      </c>
      <c r="G608" s="188"/>
      <c r="H608" s="176" t="s">
        <v>1130</v>
      </c>
      <c r="I608" s="176" t="s">
        <v>499</v>
      </c>
      <c r="J608" s="25">
        <v>7061971988</v>
      </c>
      <c r="K608" s="188">
        <v>27859</v>
      </c>
      <c r="L608" s="23" t="s">
        <v>1846</v>
      </c>
      <c r="M608" s="23" t="s">
        <v>10</v>
      </c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</row>
    <row r="609" spans="1:31" x14ac:dyDescent="0.3">
      <c r="A609" s="176" t="s">
        <v>1131</v>
      </c>
      <c r="B609" s="176" t="s">
        <v>637</v>
      </c>
      <c r="C609" s="25">
        <v>8045536623</v>
      </c>
      <c r="D609" s="188">
        <v>27858</v>
      </c>
      <c r="E609" s="23" t="s">
        <v>1847</v>
      </c>
      <c r="F609" s="23" t="s">
        <v>6</v>
      </c>
      <c r="G609" s="188"/>
      <c r="H609" s="176" t="s">
        <v>1131</v>
      </c>
      <c r="I609" s="176" t="s">
        <v>637</v>
      </c>
      <c r="J609" s="25">
        <v>8045536623</v>
      </c>
      <c r="K609" s="188">
        <v>27858</v>
      </c>
      <c r="L609" s="23" t="s">
        <v>1847</v>
      </c>
      <c r="M609" s="23" t="s">
        <v>6</v>
      </c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</row>
    <row r="610" spans="1:31" x14ac:dyDescent="0.3">
      <c r="A610" s="176" t="s">
        <v>1132</v>
      </c>
      <c r="B610" s="176" t="s">
        <v>322</v>
      </c>
      <c r="C610" s="25">
        <v>6087494648</v>
      </c>
      <c r="D610" s="188">
        <v>35747</v>
      </c>
      <c r="E610" s="23" t="s">
        <v>1848</v>
      </c>
      <c r="F610" s="23" t="s">
        <v>10</v>
      </c>
      <c r="G610" s="188"/>
      <c r="H610" s="176" t="s">
        <v>1132</v>
      </c>
      <c r="I610" s="176" t="s">
        <v>322</v>
      </c>
      <c r="J610" s="25">
        <v>6087494648</v>
      </c>
      <c r="K610" s="188">
        <v>35747</v>
      </c>
      <c r="L610" s="23" t="s">
        <v>1848</v>
      </c>
      <c r="M610" s="23" t="s">
        <v>10</v>
      </c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</row>
    <row r="611" spans="1:31" x14ac:dyDescent="0.3">
      <c r="A611" s="176" t="s">
        <v>1133</v>
      </c>
      <c r="B611" s="176" t="s">
        <v>1013</v>
      </c>
      <c r="C611" s="25">
        <v>3058865267</v>
      </c>
      <c r="D611" s="188">
        <v>29671</v>
      </c>
      <c r="E611" s="23" t="s">
        <v>1849</v>
      </c>
      <c r="F611" s="23" t="s">
        <v>18</v>
      </c>
      <c r="G611" s="188"/>
      <c r="H611" s="176" t="s">
        <v>1133</v>
      </c>
      <c r="I611" s="176" t="s">
        <v>1013</v>
      </c>
      <c r="J611" s="25">
        <v>3058865267</v>
      </c>
      <c r="K611" s="188">
        <v>29671</v>
      </c>
      <c r="L611" s="23" t="s">
        <v>1849</v>
      </c>
      <c r="M611" s="23" t="s">
        <v>18</v>
      </c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</row>
    <row r="612" spans="1:31" x14ac:dyDescent="0.3">
      <c r="A612" s="176" t="s">
        <v>1134</v>
      </c>
      <c r="B612" s="176" t="s">
        <v>481</v>
      </c>
      <c r="C612" s="25">
        <v>7095821616</v>
      </c>
      <c r="D612" s="188">
        <v>35708</v>
      </c>
      <c r="E612" s="23" t="s">
        <v>1850</v>
      </c>
      <c r="F612" s="23" t="s">
        <v>10</v>
      </c>
      <c r="G612" s="188"/>
      <c r="H612" s="176" t="s">
        <v>1134</v>
      </c>
      <c r="I612" s="176" t="s">
        <v>481</v>
      </c>
      <c r="J612" s="25">
        <v>7095821616</v>
      </c>
      <c r="K612" s="188">
        <v>35708</v>
      </c>
      <c r="L612" s="23" t="s">
        <v>1850</v>
      </c>
      <c r="M612" s="23" t="s">
        <v>10</v>
      </c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</row>
    <row r="613" spans="1:31" x14ac:dyDescent="0.3">
      <c r="A613" s="176" t="s">
        <v>1135</v>
      </c>
      <c r="B613" s="176" t="s">
        <v>1136</v>
      </c>
      <c r="C613" s="25">
        <v>3092889972</v>
      </c>
      <c r="D613" s="188">
        <v>28497</v>
      </c>
      <c r="E613" s="23" t="s">
        <v>1851</v>
      </c>
      <c r="F613" s="23" t="s">
        <v>10</v>
      </c>
      <c r="G613" s="188"/>
      <c r="H613" s="176" t="s">
        <v>1135</v>
      </c>
      <c r="I613" s="176" t="s">
        <v>1136</v>
      </c>
      <c r="J613" s="25">
        <v>3092889972</v>
      </c>
      <c r="K613" s="188">
        <v>28497</v>
      </c>
      <c r="L613" s="23" t="s">
        <v>1851</v>
      </c>
      <c r="M613" s="23" t="s">
        <v>10</v>
      </c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</row>
    <row r="614" spans="1:31" x14ac:dyDescent="0.3">
      <c r="A614" s="176" t="s">
        <v>1137</v>
      </c>
      <c r="B614" s="176" t="s">
        <v>453</v>
      </c>
      <c r="C614" s="25">
        <v>2012639452</v>
      </c>
      <c r="D614" s="188">
        <v>29369</v>
      </c>
      <c r="E614" s="23" t="s">
        <v>1852</v>
      </c>
      <c r="F614" s="23" t="s">
        <v>10</v>
      </c>
      <c r="G614" s="188"/>
      <c r="H614" s="176" t="s">
        <v>1137</v>
      </c>
      <c r="I614" s="176" t="s">
        <v>453</v>
      </c>
      <c r="J614" s="25">
        <v>2012639452</v>
      </c>
      <c r="K614" s="188">
        <v>29369</v>
      </c>
      <c r="L614" s="23" t="s">
        <v>1852</v>
      </c>
      <c r="M614" s="23" t="s">
        <v>10</v>
      </c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</row>
    <row r="615" spans="1:31" x14ac:dyDescent="0.3">
      <c r="A615" s="176" t="s">
        <v>1138</v>
      </c>
      <c r="B615" s="176" t="s">
        <v>395</v>
      </c>
      <c r="C615" s="25">
        <v>5188033253</v>
      </c>
      <c r="D615" s="188">
        <v>29787</v>
      </c>
      <c r="E615" s="23" t="s">
        <v>1853</v>
      </c>
      <c r="F615" s="23" t="s">
        <v>10</v>
      </c>
      <c r="G615" s="188"/>
      <c r="H615" s="176" t="s">
        <v>1138</v>
      </c>
      <c r="I615" s="176" t="s">
        <v>395</v>
      </c>
      <c r="J615" s="25">
        <v>5188033253</v>
      </c>
      <c r="K615" s="188">
        <v>29787</v>
      </c>
      <c r="L615" s="23" t="s">
        <v>1853</v>
      </c>
      <c r="M615" s="23" t="s">
        <v>10</v>
      </c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</row>
    <row r="616" spans="1:31" x14ac:dyDescent="0.3">
      <c r="A616" s="176" t="s">
        <v>1139</v>
      </c>
      <c r="B616" s="176" t="s">
        <v>499</v>
      </c>
      <c r="C616" s="25">
        <v>9175157047</v>
      </c>
      <c r="D616" s="188">
        <v>35194</v>
      </c>
      <c r="E616" s="23" t="s">
        <v>1854</v>
      </c>
      <c r="F616" s="23" t="s">
        <v>33</v>
      </c>
      <c r="G616" s="188"/>
      <c r="H616" s="176" t="s">
        <v>1139</v>
      </c>
      <c r="I616" s="176" t="s">
        <v>499</v>
      </c>
      <c r="J616" s="25">
        <v>9175157047</v>
      </c>
      <c r="K616" s="188">
        <v>35194</v>
      </c>
      <c r="L616" s="23" t="s">
        <v>1854</v>
      </c>
      <c r="M616" s="23" t="s">
        <v>33</v>
      </c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</row>
    <row r="617" spans="1:31" x14ac:dyDescent="0.3">
      <c r="A617" s="176" t="s">
        <v>1140</v>
      </c>
      <c r="B617" s="176" t="s">
        <v>1141</v>
      </c>
      <c r="C617" s="25">
        <v>9183922813</v>
      </c>
      <c r="D617" s="188">
        <v>28025</v>
      </c>
      <c r="E617" s="23" t="s">
        <v>1855</v>
      </c>
      <c r="F617" s="23" t="s">
        <v>10</v>
      </c>
      <c r="G617" s="188"/>
      <c r="H617" s="176" t="s">
        <v>1140</v>
      </c>
      <c r="I617" s="176" t="s">
        <v>1141</v>
      </c>
      <c r="J617" s="25">
        <v>9183922813</v>
      </c>
      <c r="K617" s="188">
        <v>28025</v>
      </c>
      <c r="L617" s="23" t="s">
        <v>1855</v>
      </c>
      <c r="M617" s="23" t="s">
        <v>10</v>
      </c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</row>
    <row r="618" spans="1:31" x14ac:dyDescent="0.3">
      <c r="A618" s="176" t="s">
        <v>1142</v>
      </c>
      <c r="B618" s="176" t="s">
        <v>1016</v>
      </c>
      <c r="C618" s="25">
        <v>7162229885</v>
      </c>
      <c r="D618" s="188">
        <v>27920</v>
      </c>
      <c r="E618" s="23" t="s">
        <v>1856</v>
      </c>
      <c r="F618" s="23" t="s">
        <v>10</v>
      </c>
      <c r="G618" s="188"/>
      <c r="H618" s="176" t="s">
        <v>1142</v>
      </c>
      <c r="I618" s="176" t="s">
        <v>1016</v>
      </c>
      <c r="J618" s="25">
        <v>7162229885</v>
      </c>
      <c r="K618" s="188">
        <v>27920</v>
      </c>
      <c r="L618" s="23" t="s">
        <v>1856</v>
      </c>
      <c r="M618" s="23" t="s">
        <v>10</v>
      </c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</row>
    <row r="619" spans="1:31" x14ac:dyDescent="0.3">
      <c r="A619" s="176" t="s">
        <v>230</v>
      </c>
      <c r="B619" s="176" t="s">
        <v>231</v>
      </c>
      <c r="C619" s="25">
        <v>2183204992</v>
      </c>
      <c r="D619" s="188">
        <v>28613</v>
      </c>
      <c r="E619" s="23" t="s">
        <v>1857</v>
      </c>
      <c r="F619" s="23" t="s">
        <v>10</v>
      </c>
      <c r="G619" s="188"/>
      <c r="H619" s="176" t="s">
        <v>230</v>
      </c>
      <c r="I619" s="176" t="s">
        <v>231</v>
      </c>
      <c r="J619" s="25">
        <v>2183204992</v>
      </c>
      <c r="K619" s="188">
        <v>28613</v>
      </c>
      <c r="L619" s="23" t="s">
        <v>1857</v>
      </c>
      <c r="M619" s="23" t="s">
        <v>10</v>
      </c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</row>
    <row r="620" spans="1:31" x14ac:dyDescent="0.3">
      <c r="A620" s="176" t="s">
        <v>1143</v>
      </c>
      <c r="B620" s="176" t="s">
        <v>279</v>
      </c>
      <c r="C620" s="25">
        <v>8052693355</v>
      </c>
      <c r="D620" s="188">
        <v>28933</v>
      </c>
      <c r="E620" s="23" t="s">
        <v>1858</v>
      </c>
      <c r="F620" s="23" t="s">
        <v>6</v>
      </c>
      <c r="G620" s="188"/>
      <c r="H620" s="176" t="s">
        <v>1143</v>
      </c>
      <c r="I620" s="176" t="s">
        <v>279</v>
      </c>
      <c r="J620" s="25">
        <v>8052693355</v>
      </c>
      <c r="K620" s="188">
        <v>28933</v>
      </c>
      <c r="L620" s="23" t="s">
        <v>1858</v>
      </c>
      <c r="M620" s="23" t="s">
        <v>6</v>
      </c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</row>
    <row r="621" spans="1:31" x14ac:dyDescent="0.3">
      <c r="A621" s="176" t="s">
        <v>1144</v>
      </c>
      <c r="B621" s="176" t="s">
        <v>1145</v>
      </c>
      <c r="C621" s="25">
        <v>8132238535</v>
      </c>
      <c r="D621" s="188">
        <v>29787</v>
      </c>
      <c r="E621" s="23" t="s">
        <v>1859</v>
      </c>
      <c r="F621" s="23" t="s">
        <v>10</v>
      </c>
      <c r="G621" s="188"/>
      <c r="H621" s="176" t="s">
        <v>1144</v>
      </c>
      <c r="I621" s="176" t="s">
        <v>1145</v>
      </c>
      <c r="J621" s="25">
        <v>8132238535</v>
      </c>
      <c r="K621" s="188">
        <v>29787</v>
      </c>
      <c r="L621" s="23" t="s">
        <v>1859</v>
      </c>
      <c r="M621" s="23" t="s">
        <v>10</v>
      </c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</row>
    <row r="622" spans="1:31" x14ac:dyDescent="0.3">
      <c r="A622" s="176" t="s">
        <v>1146</v>
      </c>
      <c r="B622" s="176" t="s">
        <v>1147</v>
      </c>
      <c r="C622" s="25">
        <v>7092581491</v>
      </c>
      <c r="D622" s="188">
        <v>30496</v>
      </c>
      <c r="E622" s="23" t="s">
        <v>1860</v>
      </c>
      <c r="F622" s="23" t="s">
        <v>18</v>
      </c>
      <c r="G622" s="188"/>
      <c r="H622" s="176" t="s">
        <v>1146</v>
      </c>
      <c r="I622" s="176" t="s">
        <v>1147</v>
      </c>
      <c r="J622" s="25">
        <v>7092581491</v>
      </c>
      <c r="K622" s="188">
        <v>30496</v>
      </c>
      <c r="L622" s="23" t="s">
        <v>1860</v>
      </c>
      <c r="M622" s="23" t="s">
        <v>18</v>
      </c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</row>
    <row r="623" spans="1:31" x14ac:dyDescent="0.3">
      <c r="A623" s="176" t="s">
        <v>1148</v>
      </c>
      <c r="B623" s="176" t="s">
        <v>1100</v>
      </c>
      <c r="C623" s="25">
        <v>9185990139</v>
      </c>
      <c r="D623" s="188">
        <v>34693</v>
      </c>
      <c r="E623" s="23" t="s">
        <v>1861</v>
      </c>
      <c r="F623" s="23" t="s">
        <v>10</v>
      </c>
      <c r="G623" s="188"/>
      <c r="H623" s="176" t="s">
        <v>1148</v>
      </c>
      <c r="I623" s="176" t="s">
        <v>1100</v>
      </c>
      <c r="J623" s="25">
        <v>9185990139</v>
      </c>
      <c r="K623" s="188">
        <v>34693</v>
      </c>
      <c r="L623" s="23" t="s">
        <v>1861</v>
      </c>
      <c r="M623" s="23" t="s">
        <v>10</v>
      </c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</row>
    <row r="624" spans="1:31" x14ac:dyDescent="0.3">
      <c r="A624" s="176" t="s">
        <v>1149</v>
      </c>
      <c r="B624" s="176" t="s">
        <v>592</v>
      </c>
      <c r="C624" s="25">
        <v>5034794769</v>
      </c>
      <c r="D624" s="188">
        <v>29899</v>
      </c>
      <c r="E624" s="23" t="s">
        <v>1862</v>
      </c>
      <c r="F624" s="23" t="s">
        <v>10</v>
      </c>
      <c r="G624" s="188"/>
      <c r="H624" s="176" t="s">
        <v>1149</v>
      </c>
      <c r="I624" s="176" t="s">
        <v>592</v>
      </c>
      <c r="J624" s="25">
        <v>5034794769</v>
      </c>
      <c r="K624" s="188">
        <v>29899</v>
      </c>
      <c r="L624" s="23" t="s">
        <v>1862</v>
      </c>
      <c r="M624" s="23" t="s">
        <v>10</v>
      </c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</row>
    <row r="625" spans="1:31" x14ac:dyDescent="0.3">
      <c r="A625" s="176" t="s">
        <v>1150</v>
      </c>
      <c r="B625" s="176" t="s">
        <v>310</v>
      </c>
      <c r="C625" s="25">
        <v>5157046530</v>
      </c>
      <c r="D625" s="188">
        <v>33339</v>
      </c>
      <c r="E625" s="23" t="s">
        <v>1863</v>
      </c>
      <c r="F625" s="23" t="s">
        <v>10</v>
      </c>
      <c r="G625" s="188"/>
      <c r="H625" s="176" t="s">
        <v>1150</v>
      </c>
      <c r="I625" s="176" t="s">
        <v>310</v>
      </c>
      <c r="J625" s="25">
        <v>5157046530</v>
      </c>
      <c r="K625" s="188">
        <v>33339</v>
      </c>
      <c r="L625" s="23" t="s">
        <v>1863</v>
      </c>
      <c r="M625" s="23" t="s">
        <v>10</v>
      </c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</row>
    <row r="626" spans="1:31" x14ac:dyDescent="0.3">
      <c r="A626" s="176" t="s">
        <v>1151</v>
      </c>
      <c r="B626" s="176" t="s">
        <v>783</v>
      </c>
      <c r="C626" s="25">
        <v>9182727944</v>
      </c>
      <c r="D626" s="188">
        <v>34836</v>
      </c>
      <c r="E626" s="23" t="s">
        <v>1864</v>
      </c>
      <c r="F626" s="23" t="s">
        <v>6</v>
      </c>
      <c r="G626" s="188"/>
      <c r="H626" s="176" t="s">
        <v>1151</v>
      </c>
      <c r="I626" s="176" t="s">
        <v>783</v>
      </c>
      <c r="J626" s="25">
        <v>9182727944</v>
      </c>
      <c r="K626" s="188">
        <v>34836</v>
      </c>
      <c r="L626" s="23" t="s">
        <v>1864</v>
      </c>
      <c r="M626" s="23" t="s">
        <v>6</v>
      </c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</row>
    <row r="627" spans="1:31" x14ac:dyDescent="0.3">
      <c r="A627" s="176" t="s">
        <v>1152</v>
      </c>
      <c r="B627" s="176" t="s">
        <v>838</v>
      </c>
      <c r="C627" s="25">
        <v>3126705508</v>
      </c>
      <c r="D627" s="188">
        <v>30039</v>
      </c>
      <c r="E627" s="23" t="s">
        <v>1865</v>
      </c>
      <c r="F627" s="23" t="s">
        <v>6</v>
      </c>
      <c r="G627" s="188"/>
      <c r="H627" s="176" t="s">
        <v>1152</v>
      </c>
      <c r="I627" s="176" t="s">
        <v>838</v>
      </c>
      <c r="J627" s="25">
        <v>3126705508</v>
      </c>
      <c r="K627" s="188">
        <v>30039</v>
      </c>
      <c r="L627" s="23" t="s">
        <v>1865</v>
      </c>
      <c r="M627" s="23" t="s">
        <v>6</v>
      </c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</row>
    <row r="628" spans="1:31" x14ac:dyDescent="0.3">
      <c r="A628" s="176" t="s">
        <v>1153</v>
      </c>
      <c r="B628" s="176" t="s">
        <v>434</v>
      </c>
      <c r="C628" s="25">
        <v>3143046338</v>
      </c>
      <c r="D628" s="188">
        <v>29379</v>
      </c>
      <c r="E628" s="23" t="s">
        <v>1866</v>
      </c>
      <c r="F628" s="23" t="s">
        <v>10</v>
      </c>
      <c r="G628" s="188"/>
      <c r="H628" s="176" t="s">
        <v>1153</v>
      </c>
      <c r="I628" s="176" t="s">
        <v>434</v>
      </c>
      <c r="J628" s="25">
        <v>3143046338</v>
      </c>
      <c r="K628" s="188">
        <v>29379</v>
      </c>
      <c r="L628" s="23" t="s">
        <v>1866</v>
      </c>
      <c r="M628" s="23" t="s">
        <v>10</v>
      </c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</row>
    <row r="629" spans="1:31" x14ac:dyDescent="0.3">
      <c r="A629" s="176" t="s">
        <v>1154</v>
      </c>
      <c r="B629" s="176" t="s">
        <v>1155</v>
      </c>
      <c r="C629" s="25">
        <v>2153646601</v>
      </c>
      <c r="D629" s="188">
        <v>35625</v>
      </c>
      <c r="E629" s="23" t="s">
        <v>1867</v>
      </c>
      <c r="F629" s="23" t="s">
        <v>33</v>
      </c>
      <c r="G629" s="188"/>
      <c r="H629" s="176" t="s">
        <v>1154</v>
      </c>
      <c r="I629" s="176" t="s">
        <v>1155</v>
      </c>
      <c r="J629" s="25">
        <v>2153646601</v>
      </c>
      <c r="K629" s="188">
        <v>35625</v>
      </c>
      <c r="L629" s="23" t="s">
        <v>1867</v>
      </c>
      <c r="M629" s="23" t="s">
        <v>33</v>
      </c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</row>
    <row r="630" spans="1:31" x14ac:dyDescent="0.3">
      <c r="A630" s="176" t="s">
        <v>1156</v>
      </c>
      <c r="B630" s="176" t="s">
        <v>738</v>
      </c>
      <c r="C630" s="25">
        <v>9162447501</v>
      </c>
      <c r="D630" s="188">
        <v>29487</v>
      </c>
      <c r="E630" s="23" t="s">
        <v>1868</v>
      </c>
      <c r="F630" s="23" t="s">
        <v>10</v>
      </c>
      <c r="G630" s="188"/>
      <c r="H630" s="176" t="s">
        <v>1156</v>
      </c>
      <c r="I630" s="176" t="s">
        <v>738</v>
      </c>
      <c r="J630" s="25">
        <v>9162447501</v>
      </c>
      <c r="K630" s="188">
        <v>29487</v>
      </c>
      <c r="L630" s="23" t="s">
        <v>1868</v>
      </c>
      <c r="M630" s="23" t="s">
        <v>10</v>
      </c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</row>
    <row r="631" spans="1:31" x14ac:dyDescent="0.3">
      <c r="A631" s="176" t="s">
        <v>1157</v>
      </c>
      <c r="B631" s="176" t="s">
        <v>732</v>
      </c>
      <c r="C631" s="25">
        <v>5021656242</v>
      </c>
      <c r="D631" s="188">
        <v>28537</v>
      </c>
      <c r="E631" s="23" t="s">
        <v>1869</v>
      </c>
      <c r="F631" s="23" t="s">
        <v>18</v>
      </c>
      <c r="G631" s="188"/>
      <c r="H631" s="176" t="s">
        <v>1157</v>
      </c>
      <c r="I631" s="176" t="s">
        <v>732</v>
      </c>
      <c r="J631" s="25">
        <v>5021656242</v>
      </c>
      <c r="K631" s="188">
        <v>28537</v>
      </c>
      <c r="L631" s="23" t="s">
        <v>1869</v>
      </c>
      <c r="M631" s="23" t="s">
        <v>18</v>
      </c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</row>
    <row r="632" spans="1:31" x14ac:dyDescent="0.3">
      <c r="A632" s="176" t="s">
        <v>1158</v>
      </c>
      <c r="B632" s="176" t="s">
        <v>671</v>
      </c>
      <c r="C632" s="25">
        <v>2033199265</v>
      </c>
      <c r="D632" s="188">
        <v>30367</v>
      </c>
      <c r="E632" s="23" t="s">
        <v>1870</v>
      </c>
      <c r="F632" s="23" t="s">
        <v>6</v>
      </c>
      <c r="G632" s="188"/>
      <c r="H632" s="176" t="s">
        <v>1158</v>
      </c>
      <c r="I632" s="176" t="s">
        <v>671</v>
      </c>
      <c r="J632" s="25">
        <v>2033199265</v>
      </c>
      <c r="K632" s="188">
        <v>30367</v>
      </c>
      <c r="L632" s="23" t="s">
        <v>1870</v>
      </c>
      <c r="M632" s="23" t="s">
        <v>6</v>
      </c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</row>
    <row r="633" spans="1:31" x14ac:dyDescent="0.3">
      <c r="A633" s="176" t="s">
        <v>1159</v>
      </c>
      <c r="B633" s="176" t="s">
        <v>504</v>
      </c>
      <c r="C633" s="25">
        <v>5093717553</v>
      </c>
      <c r="D633" s="188">
        <v>31933</v>
      </c>
      <c r="E633" s="23" t="s">
        <v>1871</v>
      </c>
      <c r="F633" s="23" t="s">
        <v>10</v>
      </c>
      <c r="G633" s="188"/>
      <c r="H633" s="176" t="s">
        <v>1159</v>
      </c>
      <c r="I633" s="176" t="s">
        <v>504</v>
      </c>
      <c r="J633" s="25">
        <v>5093717553</v>
      </c>
      <c r="K633" s="188">
        <v>31933</v>
      </c>
      <c r="L633" s="23" t="s">
        <v>1871</v>
      </c>
      <c r="M633" s="23" t="s">
        <v>10</v>
      </c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</row>
    <row r="634" spans="1:31" x14ac:dyDescent="0.3">
      <c r="A634" s="176" t="s">
        <v>1160</v>
      </c>
      <c r="B634" s="176" t="s">
        <v>1161</v>
      </c>
      <c r="C634" s="25">
        <v>5087660273</v>
      </c>
      <c r="D634" s="188">
        <v>32417</v>
      </c>
      <c r="E634" s="23" t="s">
        <v>1872</v>
      </c>
      <c r="F634" s="23" t="s">
        <v>6</v>
      </c>
      <c r="G634" s="188"/>
      <c r="H634" s="176" t="s">
        <v>1160</v>
      </c>
      <c r="I634" s="176" t="s">
        <v>1161</v>
      </c>
      <c r="J634" s="25">
        <v>5087660273</v>
      </c>
      <c r="K634" s="188">
        <v>32417</v>
      </c>
      <c r="L634" s="23" t="s">
        <v>1872</v>
      </c>
      <c r="M634" s="23" t="s">
        <v>6</v>
      </c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</row>
    <row r="635" spans="1:31" x14ac:dyDescent="0.3">
      <c r="A635" s="176" t="s">
        <v>1162</v>
      </c>
      <c r="B635" s="176" t="s">
        <v>564</v>
      </c>
      <c r="C635" s="25">
        <v>7172572783</v>
      </c>
      <c r="D635" s="188">
        <v>32648</v>
      </c>
      <c r="E635" s="23" t="s">
        <v>1873</v>
      </c>
      <c r="F635" s="23" t="s">
        <v>10</v>
      </c>
      <c r="G635" s="188"/>
      <c r="H635" s="176" t="s">
        <v>1162</v>
      </c>
      <c r="I635" s="176" t="s">
        <v>564</v>
      </c>
      <c r="J635" s="25">
        <v>7172572783</v>
      </c>
      <c r="K635" s="188">
        <v>32648</v>
      </c>
      <c r="L635" s="23" t="s">
        <v>1873</v>
      </c>
      <c r="M635" s="23" t="s">
        <v>10</v>
      </c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</row>
    <row r="636" spans="1:31" x14ac:dyDescent="0.3">
      <c r="A636" s="176" t="s">
        <v>1163</v>
      </c>
      <c r="B636" s="176" t="s">
        <v>1164</v>
      </c>
      <c r="C636" s="25">
        <v>6162824485</v>
      </c>
      <c r="D636" s="188">
        <v>32663</v>
      </c>
      <c r="E636" s="23" t="s">
        <v>1874</v>
      </c>
      <c r="F636" s="23" t="s">
        <v>10</v>
      </c>
      <c r="G636" s="188"/>
      <c r="H636" s="176" t="s">
        <v>1163</v>
      </c>
      <c r="I636" s="176" t="s">
        <v>1164</v>
      </c>
      <c r="J636" s="25">
        <v>6162824485</v>
      </c>
      <c r="K636" s="188">
        <v>32663</v>
      </c>
      <c r="L636" s="23" t="s">
        <v>1874</v>
      </c>
      <c r="M636" s="23" t="s">
        <v>10</v>
      </c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</row>
    <row r="637" spans="1:31" x14ac:dyDescent="0.3">
      <c r="A637" s="176" t="s">
        <v>1165</v>
      </c>
      <c r="B637" s="176" t="s">
        <v>1166</v>
      </c>
      <c r="C637" s="25">
        <v>7193906310</v>
      </c>
      <c r="D637" s="188">
        <v>32789</v>
      </c>
      <c r="E637" s="23" t="s">
        <v>1875</v>
      </c>
      <c r="F637" s="23" t="s">
        <v>18</v>
      </c>
      <c r="G637" s="188"/>
      <c r="H637" s="176" t="s">
        <v>1165</v>
      </c>
      <c r="I637" s="176" t="s">
        <v>1166</v>
      </c>
      <c r="J637" s="25">
        <v>7193906310</v>
      </c>
      <c r="K637" s="188">
        <v>32789</v>
      </c>
      <c r="L637" s="23" t="s">
        <v>1875</v>
      </c>
      <c r="M637" s="23" t="s">
        <v>18</v>
      </c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</row>
    <row r="638" spans="1:31" x14ac:dyDescent="0.3">
      <c r="A638" s="176" t="s">
        <v>1167</v>
      </c>
      <c r="B638" s="176" t="s">
        <v>1168</v>
      </c>
      <c r="C638" s="25">
        <v>2165202015</v>
      </c>
      <c r="D638" s="188">
        <v>30152</v>
      </c>
      <c r="E638" s="23" t="s">
        <v>1362</v>
      </c>
      <c r="F638" s="23" t="s">
        <v>6</v>
      </c>
      <c r="G638" s="188"/>
      <c r="H638" s="176" t="s">
        <v>1167</v>
      </c>
      <c r="I638" s="176" t="s">
        <v>1168</v>
      </c>
      <c r="J638" s="25">
        <v>2165202015</v>
      </c>
      <c r="K638" s="188">
        <v>30152</v>
      </c>
      <c r="L638" s="23" t="s">
        <v>1362</v>
      </c>
      <c r="M638" s="23" t="s">
        <v>6</v>
      </c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</row>
    <row r="639" spans="1:31" x14ac:dyDescent="0.3">
      <c r="A639" s="176" t="s">
        <v>1169</v>
      </c>
      <c r="B639" s="176" t="s">
        <v>322</v>
      </c>
      <c r="C639" s="25">
        <v>7016040465</v>
      </c>
      <c r="D639" s="188">
        <v>33961</v>
      </c>
      <c r="E639" s="23" t="s">
        <v>1876</v>
      </c>
      <c r="F639" s="23" t="s">
        <v>6</v>
      </c>
      <c r="G639" s="188"/>
      <c r="H639" s="176" t="s">
        <v>1169</v>
      </c>
      <c r="I639" s="176" t="s">
        <v>322</v>
      </c>
      <c r="J639" s="25">
        <v>7016040465</v>
      </c>
      <c r="K639" s="188">
        <v>33961</v>
      </c>
      <c r="L639" s="23" t="s">
        <v>1876</v>
      </c>
      <c r="M639" s="23" t="s">
        <v>6</v>
      </c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</row>
    <row r="640" spans="1:31" x14ac:dyDescent="0.3">
      <c r="A640" s="176" t="s">
        <v>1170</v>
      </c>
      <c r="B640" s="176" t="s">
        <v>1171</v>
      </c>
      <c r="C640" s="25">
        <v>7114479196</v>
      </c>
      <c r="D640" s="188">
        <v>28848</v>
      </c>
      <c r="E640" s="23" t="s">
        <v>1877</v>
      </c>
      <c r="F640" s="23" t="s">
        <v>18</v>
      </c>
      <c r="G640" s="188"/>
      <c r="H640" s="176" t="s">
        <v>1170</v>
      </c>
      <c r="I640" s="176" t="s">
        <v>1171</v>
      </c>
      <c r="J640" s="25">
        <v>7114479196</v>
      </c>
      <c r="K640" s="188">
        <v>28848</v>
      </c>
      <c r="L640" s="23" t="s">
        <v>1877</v>
      </c>
      <c r="M640" s="23" t="s">
        <v>18</v>
      </c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</row>
    <row r="641" spans="1:31" x14ac:dyDescent="0.3">
      <c r="A641" s="176" t="s">
        <v>1172</v>
      </c>
      <c r="B641" s="176" t="s">
        <v>500</v>
      </c>
      <c r="C641" s="25">
        <v>8191391475</v>
      </c>
      <c r="D641" s="188">
        <v>30631</v>
      </c>
      <c r="E641" s="23" t="s">
        <v>1878</v>
      </c>
      <c r="F641" s="23" t="s">
        <v>6</v>
      </c>
      <c r="G641" s="188"/>
      <c r="H641" s="176" t="s">
        <v>1172</v>
      </c>
      <c r="I641" s="176" t="s">
        <v>500</v>
      </c>
      <c r="J641" s="25">
        <v>8191391475</v>
      </c>
      <c r="K641" s="188">
        <v>30631</v>
      </c>
      <c r="L641" s="23" t="s">
        <v>1878</v>
      </c>
      <c r="M641" s="23" t="s">
        <v>6</v>
      </c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</row>
    <row r="642" spans="1:31" x14ac:dyDescent="0.3">
      <c r="A642" s="176" t="s">
        <v>1173</v>
      </c>
      <c r="B642" s="176" t="s">
        <v>1174</v>
      </c>
      <c r="C642" s="25">
        <v>6058426889</v>
      </c>
      <c r="D642" s="188">
        <v>28311</v>
      </c>
      <c r="E642" s="23" t="s">
        <v>1879</v>
      </c>
      <c r="F642" s="23" t="s">
        <v>18</v>
      </c>
      <c r="G642" s="188"/>
      <c r="H642" s="176" t="s">
        <v>1173</v>
      </c>
      <c r="I642" s="176" t="s">
        <v>1174</v>
      </c>
      <c r="J642" s="25">
        <v>6058426889</v>
      </c>
      <c r="K642" s="188">
        <v>28311</v>
      </c>
      <c r="L642" s="23" t="s">
        <v>1879</v>
      </c>
      <c r="M642" s="23" t="s">
        <v>18</v>
      </c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</row>
    <row r="643" spans="1:31" x14ac:dyDescent="0.3">
      <c r="A643" s="176" t="s">
        <v>1175</v>
      </c>
      <c r="B643" s="176" t="s">
        <v>1176</v>
      </c>
      <c r="C643" s="25">
        <v>8128824849</v>
      </c>
      <c r="D643" s="188">
        <v>29702</v>
      </c>
      <c r="E643" s="23" t="s">
        <v>1880</v>
      </c>
      <c r="F643" s="23" t="s">
        <v>10</v>
      </c>
      <c r="G643" s="188"/>
      <c r="H643" s="176" t="s">
        <v>1175</v>
      </c>
      <c r="I643" s="176" t="s">
        <v>1176</v>
      </c>
      <c r="J643" s="25">
        <v>8128824849</v>
      </c>
      <c r="K643" s="188">
        <v>29702</v>
      </c>
      <c r="L643" s="23" t="s">
        <v>1880</v>
      </c>
      <c r="M643" s="23" t="s">
        <v>10</v>
      </c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</row>
    <row r="644" spans="1:31" x14ac:dyDescent="0.3">
      <c r="A644" s="176" t="s">
        <v>1177</v>
      </c>
      <c r="B644" s="176" t="s">
        <v>1178</v>
      </c>
      <c r="C644" s="25">
        <v>6014785979</v>
      </c>
      <c r="D644" s="188">
        <v>32694</v>
      </c>
      <c r="E644" s="23" t="s">
        <v>1881</v>
      </c>
      <c r="F644" s="23" t="s">
        <v>18</v>
      </c>
      <c r="G644" s="188"/>
      <c r="H644" s="176" t="s">
        <v>1177</v>
      </c>
      <c r="I644" s="176" t="s">
        <v>1178</v>
      </c>
      <c r="J644" s="25">
        <v>6014785979</v>
      </c>
      <c r="K644" s="188">
        <v>32694</v>
      </c>
      <c r="L644" s="23" t="s">
        <v>1881</v>
      </c>
      <c r="M644" s="23" t="s">
        <v>18</v>
      </c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</row>
    <row r="645" spans="1:31" x14ac:dyDescent="0.3">
      <c r="A645" s="176" t="s">
        <v>1179</v>
      </c>
      <c r="B645" s="176" t="s">
        <v>800</v>
      </c>
      <c r="C645" s="25">
        <v>3155441252</v>
      </c>
      <c r="D645" s="188">
        <v>27859</v>
      </c>
      <c r="E645" s="23" t="s">
        <v>1882</v>
      </c>
      <c r="F645" s="23" t="s">
        <v>10</v>
      </c>
      <c r="G645" s="188"/>
      <c r="H645" s="176" t="s">
        <v>1179</v>
      </c>
      <c r="I645" s="176" t="s">
        <v>800</v>
      </c>
      <c r="J645" s="25">
        <v>3155441252</v>
      </c>
      <c r="K645" s="188">
        <v>27859</v>
      </c>
      <c r="L645" s="23" t="s">
        <v>1882</v>
      </c>
      <c r="M645" s="23" t="s">
        <v>10</v>
      </c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</row>
    <row r="646" spans="1:31" x14ac:dyDescent="0.3">
      <c r="A646" s="176" t="s">
        <v>1180</v>
      </c>
      <c r="B646" s="176" t="s">
        <v>1181</v>
      </c>
      <c r="C646" s="25">
        <v>2197358099</v>
      </c>
      <c r="D646" s="188">
        <v>27858</v>
      </c>
      <c r="E646" s="23" t="s">
        <v>1883</v>
      </c>
      <c r="F646" s="23" t="s">
        <v>6</v>
      </c>
      <c r="G646" s="188"/>
      <c r="H646" s="176" t="s">
        <v>1180</v>
      </c>
      <c r="I646" s="176" t="s">
        <v>1181</v>
      </c>
      <c r="J646" s="25">
        <v>2197358099</v>
      </c>
      <c r="K646" s="188">
        <v>27858</v>
      </c>
      <c r="L646" s="23" t="s">
        <v>1883</v>
      </c>
      <c r="M646" s="23" t="s">
        <v>6</v>
      </c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</row>
    <row r="647" spans="1:31" x14ac:dyDescent="0.3">
      <c r="A647" s="176" t="s">
        <v>228</v>
      </c>
      <c r="B647" s="176" t="s">
        <v>229</v>
      </c>
      <c r="C647" s="25">
        <v>9144944596</v>
      </c>
      <c r="D647" s="188">
        <v>35747</v>
      </c>
      <c r="E647" s="23" t="s">
        <v>1884</v>
      </c>
      <c r="F647" s="23" t="s">
        <v>6</v>
      </c>
      <c r="G647" s="188"/>
      <c r="H647" s="176" t="s">
        <v>228</v>
      </c>
      <c r="I647" s="176" t="s">
        <v>229</v>
      </c>
      <c r="J647" s="25">
        <v>9144944596</v>
      </c>
      <c r="K647" s="188">
        <v>35747</v>
      </c>
      <c r="L647" s="23" t="s">
        <v>1884</v>
      </c>
      <c r="M647" s="23" t="s">
        <v>6</v>
      </c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</row>
    <row r="648" spans="1:31" x14ac:dyDescent="0.3">
      <c r="A648" s="176" t="s">
        <v>1182</v>
      </c>
      <c r="B648" s="176" t="s">
        <v>348</v>
      </c>
      <c r="C648" s="25">
        <v>4086860208</v>
      </c>
      <c r="D648" s="188">
        <v>29671</v>
      </c>
      <c r="E648" s="23" t="s">
        <v>1885</v>
      </c>
      <c r="F648" s="23" t="s">
        <v>10</v>
      </c>
      <c r="G648" s="188"/>
      <c r="H648" s="176" t="s">
        <v>1182</v>
      </c>
      <c r="I648" s="176" t="s">
        <v>348</v>
      </c>
      <c r="J648" s="25">
        <v>4086860208</v>
      </c>
      <c r="K648" s="188">
        <v>29671</v>
      </c>
      <c r="L648" s="23" t="s">
        <v>1885</v>
      </c>
      <c r="M648" s="23" t="s">
        <v>10</v>
      </c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</row>
    <row r="649" spans="1:31" x14ac:dyDescent="0.3">
      <c r="A649" s="176" t="s">
        <v>1183</v>
      </c>
      <c r="B649" s="176" t="s">
        <v>1184</v>
      </c>
      <c r="C649" s="25">
        <v>2083533906</v>
      </c>
      <c r="D649" s="188">
        <v>35708</v>
      </c>
      <c r="E649" s="23" t="s">
        <v>1886</v>
      </c>
      <c r="F649" s="23" t="s">
        <v>6</v>
      </c>
      <c r="G649" s="188"/>
      <c r="H649" s="176" t="s">
        <v>1183</v>
      </c>
      <c r="I649" s="176" t="s">
        <v>1184</v>
      </c>
      <c r="J649" s="25">
        <v>2083533906</v>
      </c>
      <c r="K649" s="188">
        <v>35708</v>
      </c>
      <c r="L649" s="23" t="s">
        <v>1886</v>
      </c>
      <c r="M649" s="23" t="s">
        <v>6</v>
      </c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</row>
    <row r="650" spans="1:31" x14ac:dyDescent="0.3">
      <c r="A650" s="176" t="s">
        <v>1185</v>
      </c>
      <c r="B650" s="176" t="s">
        <v>1186</v>
      </c>
      <c r="C650" s="25">
        <v>3053986051</v>
      </c>
      <c r="D650" s="188">
        <v>28497</v>
      </c>
      <c r="E650" s="23" t="s">
        <v>1887</v>
      </c>
      <c r="F650" s="23" t="s">
        <v>6</v>
      </c>
      <c r="G650" s="188"/>
      <c r="H650" s="176" t="s">
        <v>1185</v>
      </c>
      <c r="I650" s="176" t="s">
        <v>1186</v>
      </c>
      <c r="J650" s="25">
        <v>3053986051</v>
      </c>
      <c r="K650" s="188">
        <v>28497</v>
      </c>
      <c r="L650" s="23" t="s">
        <v>1887</v>
      </c>
      <c r="M650" s="23" t="s">
        <v>6</v>
      </c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</row>
    <row r="651" spans="1:31" x14ac:dyDescent="0.3">
      <c r="A651" s="176" t="s">
        <v>1187</v>
      </c>
      <c r="B651" s="176" t="s">
        <v>310</v>
      </c>
      <c r="C651" s="25">
        <v>2117051004</v>
      </c>
      <c r="D651" s="188">
        <v>29369</v>
      </c>
      <c r="E651" s="23" t="s">
        <v>1888</v>
      </c>
      <c r="F651" s="23" t="s">
        <v>10</v>
      </c>
      <c r="G651" s="188"/>
      <c r="H651" s="176" t="s">
        <v>1187</v>
      </c>
      <c r="I651" s="176" t="s">
        <v>310</v>
      </c>
      <c r="J651" s="25">
        <v>2117051004</v>
      </c>
      <c r="K651" s="188">
        <v>29369</v>
      </c>
      <c r="L651" s="23" t="s">
        <v>1888</v>
      </c>
      <c r="M651" s="23" t="s">
        <v>10</v>
      </c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</row>
    <row r="652" spans="1:31" x14ac:dyDescent="0.3">
      <c r="A652" s="176" t="s">
        <v>1188</v>
      </c>
      <c r="B652" s="176" t="s">
        <v>279</v>
      </c>
      <c r="C652" s="25">
        <v>4173014821</v>
      </c>
      <c r="D652" s="188">
        <v>29787</v>
      </c>
      <c r="E652" s="23" t="s">
        <v>1889</v>
      </c>
      <c r="F652" s="23" t="s">
        <v>33</v>
      </c>
      <c r="G652" s="188"/>
      <c r="H652" s="176" t="s">
        <v>1188</v>
      </c>
      <c r="I652" s="176" t="s">
        <v>279</v>
      </c>
      <c r="J652" s="25">
        <v>4173014821</v>
      </c>
      <c r="K652" s="188">
        <v>29787</v>
      </c>
      <c r="L652" s="23" t="s">
        <v>1889</v>
      </c>
      <c r="M652" s="23" t="s">
        <v>33</v>
      </c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</row>
    <row r="653" spans="1:31" x14ac:dyDescent="0.3">
      <c r="A653" s="176" t="s">
        <v>1189</v>
      </c>
      <c r="B653" s="176" t="s">
        <v>509</v>
      </c>
      <c r="C653" s="25">
        <v>8018385730</v>
      </c>
      <c r="D653" s="188">
        <v>35194</v>
      </c>
      <c r="E653" s="23" t="s">
        <v>1411</v>
      </c>
      <c r="F653" s="23" t="s">
        <v>10</v>
      </c>
      <c r="G653" s="188"/>
      <c r="H653" s="176" t="s">
        <v>1189</v>
      </c>
      <c r="I653" s="176" t="s">
        <v>509</v>
      </c>
      <c r="J653" s="25">
        <v>8018385730</v>
      </c>
      <c r="K653" s="188">
        <v>35194</v>
      </c>
      <c r="L653" s="23" t="s">
        <v>1411</v>
      </c>
      <c r="M653" s="23" t="s">
        <v>10</v>
      </c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</row>
    <row r="654" spans="1:31" x14ac:dyDescent="0.3">
      <c r="A654" s="176" t="s">
        <v>1190</v>
      </c>
      <c r="B654" s="176" t="s">
        <v>499</v>
      </c>
      <c r="C654" s="25">
        <v>8141449596</v>
      </c>
      <c r="D654" s="188">
        <v>28025</v>
      </c>
      <c r="E654" s="23" t="s">
        <v>1732</v>
      </c>
      <c r="F654" s="23" t="s">
        <v>6</v>
      </c>
      <c r="G654" s="188"/>
      <c r="H654" s="176" t="s">
        <v>1190</v>
      </c>
      <c r="I654" s="176" t="s">
        <v>499</v>
      </c>
      <c r="J654" s="25">
        <v>8141449596</v>
      </c>
      <c r="K654" s="188">
        <v>28025</v>
      </c>
      <c r="L654" s="23" t="s">
        <v>1732</v>
      </c>
      <c r="M654" s="23" t="s">
        <v>6</v>
      </c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</row>
    <row r="655" spans="1:31" x14ac:dyDescent="0.3">
      <c r="A655" s="176" t="s">
        <v>1191</v>
      </c>
      <c r="B655" s="176" t="s">
        <v>322</v>
      </c>
      <c r="C655" s="25">
        <v>9028488350</v>
      </c>
      <c r="D655" s="188">
        <v>27920</v>
      </c>
      <c r="E655" s="23" t="s">
        <v>1890</v>
      </c>
      <c r="F655" s="23" t="s">
        <v>10</v>
      </c>
      <c r="G655" s="188"/>
      <c r="H655" s="176" t="s">
        <v>1191</v>
      </c>
      <c r="I655" s="176" t="s">
        <v>322</v>
      </c>
      <c r="J655" s="25">
        <v>9028488350</v>
      </c>
      <c r="K655" s="188">
        <v>27920</v>
      </c>
      <c r="L655" s="23" t="s">
        <v>1890</v>
      </c>
      <c r="M655" s="23" t="s">
        <v>10</v>
      </c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</row>
    <row r="656" spans="1:31" x14ac:dyDescent="0.3">
      <c r="A656" s="176" t="s">
        <v>1192</v>
      </c>
      <c r="B656" s="176" t="s">
        <v>1164</v>
      </c>
      <c r="C656" s="25">
        <v>8153967339</v>
      </c>
      <c r="D656" s="188">
        <v>28613</v>
      </c>
      <c r="E656" s="23" t="s">
        <v>1891</v>
      </c>
      <c r="F656" s="23" t="s">
        <v>10</v>
      </c>
      <c r="G656" s="188"/>
      <c r="H656" s="176" t="s">
        <v>1192</v>
      </c>
      <c r="I656" s="176" t="s">
        <v>1164</v>
      </c>
      <c r="J656" s="25">
        <v>8153967339</v>
      </c>
      <c r="K656" s="188">
        <v>28613</v>
      </c>
      <c r="L656" s="23" t="s">
        <v>1891</v>
      </c>
      <c r="M656" s="23" t="s">
        <v>10</v>
      </c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</row>
    <row r="657" spans="1:31" x14ac:dyDescent="0.3">
      <c r="A657" s="176" t="s">
        <v>1193</v>
      </c>
      <c r="B657" s="176" t="s">
        <v>1194</v>
      </c>
      <c r="C657" s="25">
        <v>5142354572</v>
      </c>
      <c r="D657" s="188">
        <v>28933</v>
      </c>
      <c r="E657" s="23" t="s">
        <v>1892</v>
      </c>
      <c r="F657" s="23" t="s">
        <v>18</v>
      </c>
      <c r="G657" s="188"/>
      <c r="H657" s="176" t="s">
        <v>1193</v>
      </c>
      <c r="I657" s="176" t="s">
        <v>1194</v>
      </c>
      <c r="J657" s="25">
        <v>5142354572</v>
      </c>
      <c r="K657" s="188">
        <v>28933</v>
      </c>
      <c r="L657" s="23" t="s">
        <v>1892</v>
      </c>
      <c r="M657" s="23" t="s">
        <v>18</v>
      </c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</row>
    <row r="658" spans="1:31" x14ac:dyDescent="0.3">
      <c r="A658" s="176" t="s">
        <v>1195</v>
      </c>
      <c r="B658" s="176" t="s">
        <v>1196</v>
      </c>
      <c r="C658" s="25">
        <v>5198294156</v>
      </c>
      <c r="D658" s="188">
        <v>29787</v>
      </c>
      <c r="E658" s="23" t="s">
        <v>1893</v>
      </c>
      <c r="F658" s="23" t="s">
        <v>10</v>
      </c>
      <c r="G658" s="188"/>
      <c r="H658" s="176" t="s">
        <v>1195</v>
      </c>
      <c r="I658" s="176" t="s">
        <v>1196</v>
      </c>
      <c r="J658" s="25">
        <v>5198294156</v>
      </c>
      <c r="K658" s="188">
        <v>29787</v>
      </c>
      <c r="L658" s="23" t="s">
        <v>1893</v>
      </c>
      <c r="M658" s="23" t="s">
        <v>10</v>
      </c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</row>
    <row r="659" spans="1:31" x14ac:dyDescent="0.3">
      <c r="A659" s="176" t="s">
        <v>1197</v>
      </c>
      <c r="B659" s="176" t="s">
        <v>285</v>
      </c>
      <c r="C659" s="25">
        <v>3113547588</v>
      </c>
      <c r="D659" s="188">
        <v>30496</v>
      </c>
      <c r="E659" s="23" t="s">
        <v>1894</v>
      </c>
      <c r="F659" s="23" t="s">
        <v>6</v>
      </c>
      <c r="G659" s="188"/>
      <c r="H659" s="176" t="s">
        <v>1197</v>
      </c>
      <c r="I659" s="176" t="s">
        <v>285</v>
      </c>
      <c r="J659" s="25">
        <v>3113547588</v>
      </c>
      <c r="K659" s="188">
        <v>30496</v>
      </c>
      <c r="L659" s="23" t="s">
        <v>1894</v>
      </c>
      <c r="M659" s="23" t="s">
        <v>6</v>
      </c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</row>
    <row r="660" spans="1:31" x14ac:dyDescent="0.3">
      <c r="A660" s="176" t="s">
        <v>1198</v>
      </c>
      <c r="B660" s="176" t="s">
        <v>800</v>
      </c>
      <c r="C660" s="25">
        <v>4043162442</v>
      </c>
      <c r="D660" s="188">
        <v>34693</v>
      </c>
      <c r="E660" s="23" t="s">
        <v>1895</v>
      </c>
      <c r="F660" s="23" t="s">
        <v>6</v>
      </c>
      <c r="G660" s="188"/>
      <c r="H660" s="176" t="s">
        <v>1198</v>
      </c>
      <c r="I660" s="176" t="s">
        <v>800</v>
      </c>
      <c r="J660" s="25">
        <v>4043162442</v>
      </c>
      <c r="K660" s="188">
        <v>34693</v>
      </c>
      <c r="L660" s="23" t="s">
        <v>1895</v>
      </c>
      <c r="M660" s="23" t="s">
        <v>6</v>
      </c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</row>
    <row r="661" spans="1:31" x14ac:dyDescent="0.3">
      <c r="A661" s="176" t="s">
        <v>1199</v>
      </c>
      <c r="B661" s="176" t="s">
        <v>1200</v>
      </c>
      <c r="C661" s="25">
        <v>7141675237</v>
      </c>
      <c r="D661" s="188">
        <v>29899</v>
      </c>
      <c r="E661" s="23" t="s">
        <v>1896</v>
      </c>
      <c r="F661" s="23" t="s">
        <v>10</v>
      </c>
      <c r="G661" s="188"/>
      <c r="H661" s="176" t="s">
        <v>1199</v>
      </c>
      <c r="I661" s="176" t="s">
        <v>1200</v>
      </c>
      <c r="J661" s="25">
        <v>7141675237</v>
      </c>
      <c r="K661" s="188">
        <v>29899</v>
      </c>
      <c r="L661" s="23" t="s">
        <v>1896</v>
      </c>
      <c r="M661" s="23" t="s">
        <v>10</v>
      </c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</row>
    <row r="662" spans="1:31" ht="26.4" x14ac:dyDescent="0.3">
      <c r="A662" s="176" t="s">
        <v>1201</v>
      </c>
      <c r="B662" s="176" t="s">
        <v>516</v>
      </c>
      <c r="C662" s="25">
        <v>8088922252</v>
      </c>
      <c r="D662" s="188">
        <v>33339</v>
      </c>
      <c r="E662" s="23" t="s">
        <v>1897</v>
      </c>
      <c r="F662" s="23" t="s">
        <v>10</v>
      </c>
      <c r="G662" s="188"/>
      <c r="H662" s="176" t="s">
        <v>1201</v>
      </c>
      <c r="I662" s="176" t="s">
        <v>516</v>
      </c>
      <c r="J662" s="25">
        <v>8088922252</v>
      </c>
      <c r="K662" s="188">
        <v>33339</v>
      </c>
      <c r="L662" s="23" t="s">
        <v>1897</v>
      </c>
      <c r="M662" s="23" t="s">
        <v>10</v>
      </c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</row>
    <row r="663" spans="1:31" x14ac:dyDescent="0.3">
      <c r="A663" s="176" t="s">
        <v>1202</v>
      </c>
      <c r="B663" s="176" t="s">
        <v>1203</v>
      </c>
      <c r="C663" s="25">
        <v>7086681578</v>
      </c>
      <c r="D663" s="188">
        <v>34836</v>
      </c>
      <c r="E663" s="23" t="s">
        <v>1898</v>
      </c>
      <c r="F663" s="23" t="s">
        <v>10</v>
      </c>
      <c r="G663" s="188"/>
      <c r="H663" s="176" t="s">
        <v>1202</v>
      </c>
      <c r="I663" s="176" t="s">
        <v>1203</v>
      </c>
      <c r="J663" s="25">
        <v>7086681578</v>
      </c>
      <c r="K663" s="188">
        <v>34836</v>
      </c>
      <c r="L663" s="23" t="s">
        <v>1898</v>
      </c>
      <c r="M663" s="23" t="s">
        <v>10</v>
      </c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</row>
    <row r="664" spans="1:31" x14ac:dyDescent="0.3">
      <c r="A664" s="176" t="s">
        <v>1204</v>
      </c>
      <c r="B664" s="176" t="s">
        <v>732</v>
      </c>
      <c r="C664" s="25">
        <v>6066576057</v>
      </c>
      <c r="D664" s="188">
        <v>30039</v>
      </c>
      <c r="E664" s="23" t="s">
        <v>1899</v>
      </c>
      <c r="F664" s="23" t="s">
        <v>6</v>
      </c>
      <c r="G664" s="188"/>
      <c r="H664" s="176" t="s">
        <v>1204</v>
      </c>
      <c r="I664" s="176" t="s">
        <v>732</v>
      </c>
      <c r="J664" s="25">
        <v>6066576057</v>
      </c>
      <c r="K664" s="188">
        <v>30039</v>
      </c>
      <c r="L664" s="23" t="s">
        <v>1899</v>
      </c>
      <c r="M664" s="23" t="s">
        <v>6</v>
      </c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</row>
    <row r="665" spans="1:31" x14ac:dyDescent="0.3">
      <c r="A665" s="176" t="s">
        <v>1205</v>
      </c>
      <c r="B665" s="176" t="s">
        <v>1206</v>
      </c>
      <c r="C665" s="25">
        <v>4181230519</v>
      </c>
      <c r="D665" s="188">
        <v>29379</v>
      </c>
      <c r="E665" s="23" t="s">
        <v>1900</v>
      </c>
      <c r="F665" s="23" t="s">
        <v>10</v>
      </c>
      <c r="G665" s="188"/>
      <c r="H665" s="176" t="s">
        <v>1205</v>
      </c>
      <c r="I665" s="176" t="s">
        <v>1206</v>
      </c>
      <c r="J665" s="25">
        <v>4181230519</v>
      </c>
      <c r="K665" s="188">
        <v>29379</v>
      </c>
      <c r="L665" s="23" t="s">
        <v>1900</v>
      </c>
      <c r="M665" s="23" t="s">
        <v>10</v>
      </c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</row>
    <row r="666" spans="1:31" x14ac:dyDescent="0.3">
      <c r="A666" s="176" t="s">
        <v>1207</v>
      </c>
      <c r="B666" s="176" t="s">
        <v>1098</v>
      </c>
      <c r="C666" s="25">
        <v>2122636321</v>
      </c>
      <c r="D666" s="188">
        <v>35625</v>
      </c>
      <c r="E666" s="23" t="s">
        <v>1733</v>
      </c>
      <c r="F666" s="23" t="s">
        <v>10</v>
      </c>
      <c r="G666" s="188"/>
      <c r="H666" s="176" t="s">
        <v>1207</v>
      </c>
      <c r="I666" s="176" t="s">
        <v>1098</v>
      </c>
      <c r="J666" s="25">
        <v>2122636321</v>
      </c>
      <c r="K666" s="188">
        <v>35625</v>
      </c>
      <c r="L666" s="23" t="s">
        <v>1733</v>
      </c>
      <c r="M666" s="23" t="s">
        <v>10</v>
      </c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</row>
    <row r="667" spans="1:31" x14ac:dyDescent="0.3">
      <c r="A667" s="176" t="s">
        <v>1208</v>
      </c>
      <c r="B667" s="176" t="s">
        <v>314</v>
      </c>
      <c r="C667" s="25">
        <v>5068627048</v>
      </c>
      <c r="D667" s="188">
        <v>29487</v>
      </c>
      <c r="E667" s="23" t="s">
        <v>1901</v>
      </c>
      <c r="F667" s="23" t="s">
        <v>10</v>
      </c>
      <c r="G667" s="188"/>
      <c r="H667" s="176" t="s">
        <v>1208</v>
      </c>
      <c r="I667" s="176" t="s">
        <v>314</v>
      </c>
      <c r="J667" s="25">
        <v>5068627048</v>
      </c>
      <c r="K667" s="188">
        <v>29487</v>
      </c>
      <c r="L667" s="23" t="s">
        <v>1901</v>
      </c>
      <c r="M667" s="23" t="s">
        <v>10</v>
      </c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</row>
    <row r="668" spans="1:31" x14ac:dyDescent="0.3">
      <c r="A668" s="176" t="s">
        <v>1209</v>
      </c>
      <c r="B668" s="176" t="s">
        <v>1210</v>
      </c>
      <c r="C668" s="25">
        <v>6085725646</v>
      </c>
      <c r="D668" s="188">
        <v>28537</v>
      </c>
      <c r="E668" s="23" t="s">
        <v>1902</v>
      </c>
      <c r="F668" s="23" t="s">
        <v>18</v>
      </c>
      <c r="G668" s="188"/>
      <c r="H668" s="176" t="s">
        <v>1209</v>
      </c>
      <c r="I668" s="176" t="s">
        <v>1210</v>
      </c>
      <c r="J668" s="25">
        <v>6085725646</v>
      </c>
      <c r="K668" s="188">
        <v>28537</v>
      </c>
      <c r="L668" s="23" t="s">
        <v>1902</v>
      </c>
      <c r="M668" s="23" t="s">
        <v>18</v>
      </c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</row>
    <row r="669" spans="1:31" x14ac:dyDescent="0.3">
      <c r="A669" s="176" t="s">
        <v>1211</v>
      </c>
      <c r="B669" s="176" t="s">
        <v>1009</v>
      </c>
      <c r="C669" s="25">
        <v>9034936058</v>
      </c>
      <c r="D669" s="188">
        <v>30367</v>
      </c>
      <c r="E669" s="23" t="s">
        <v>1390</v>
      </c>
      <c r="F669" s="23" t="s">
        <v>10</v>
      </c>
      <c r="G669" s="188"/>
      <c r="H669" s="176" t="s">
        <v>1211</v>
      </c>
      <c r="I669" s="176" t="s">
        <v>1009</v>
      </c>
      <c r="J669" s="25">
        <v>9034936058</v>
      </c>
      <c r="K669" s="188">
        <v>30367</v>
      </c>
      <c r="L669" s="23" t="s">
        <v>1390</v>
      </c>
      <c r="M669" s="23" t="s">
        <v>10</v>
      </c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</row>
    <row r="670" spans="1:31" x14ac:dyDescent="0.3">
      <c r="A670" s="176" t="s">
        <v>1212</v>
      </c>
      <c r="B670" s="176" t="s">
        <v>285</v>
      </c>
      <c r="C670" s="25">
        <v>3037780776</v>
      </c>
      <c r="D670" s="188">
        <v>31933</v>
      </c>
      <c r="E670" s="23" t="s">
        <v>1903</v>
      </c>
      <c r="F670" s="23" t="s">
        <v>6</v>
      </c>
      <c r="G670" s="188"/>
      <c r="H670" s="176" t="s">
        <v>1212</v>
      </c>
      <c r="I670" s="176" t="s">
        <v>285</v>
      </c>
      <c r="J670" s="25">
        <v>3037780776</v>
      </c>
      <c r="K670" s="188">
        <v>31933</v>
      </c>
      <c r="L670" s="23" t="s">
        <v>1903</v>
      </c>
      <c r="M670" s="23" t="s">
        <v>6</v>
      </c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</row>
    <row r="671" spans="1:31" x14ac:dyDescent="0.3">
      <c r="A671" s="176" t="s">
        <v>1213</v>
      </c>
      <c r="B671" s="176" t="s">
        <v>288</v>
      </c>
      <c r="C671" s="25">
        <v>8088082183</v>
      </c>
      <c r="D671" s="188">
        <v>32417</v>
      </c>
      <c r="E671" s="23" t="s">
        <v>1904</v>
      </c>
      <c r="F671" s="23" t="s">
        <v>33</v>
      </c>
      <c r="G671" s="188"/>
      <c r="H671" s="176" t="s">
        <v>1213</v>
      </c>
      <c r="I671" s="176" t="s">
        <v>288</v>
      </c>
      <c r="J671" s="25">
        <v>8088082183</v>
      </c>
      <c r="K671" s="188">
        <v>32417</v>
      </c>
      <c r="L671" s="23" t="s">
        <v>1904</v>
      </c>
      <c r="M671" s="23" t="s">
        <v>33</v>
      </c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</row>
    <row r="672" spans="1:31" x14ac:dyDescent="0.3">
      <c r="A672" s="176" t="s">
        <v>1214</v>
      </c>
      <c r="B672" s="176" t="s">
        <v>1215</v>
      </c>
      <c r="C672" s="25">
        <v>9098367725</v>
      </c>
      <c r="D672" s="188">
        <v>32648</v>
      </c>
      <c r="E672" s="23" t="s">
        <v>1905</v>
      </c>
      <c r="F672" s="23" t="s">
        <v>10</v>
      </c>
      <c r="G672" s="188"/>
      <c r="H672" s="176" t="s">
        <v>1214</v>
      </c>
      <c r="I672" s="176" t="s">
        <v>1215</v>
      </c>
      <c r="J672" s="25">
        <v>9098367725</v>
      </c>
      <c r="K672" s="188">
        <v>32648</v>
      </c>
      <c r="L672" s="23" t="s">
        <v>1905</v>
      </c>
      <c r="M672" s="23" t="s">
        <v>10</v>
      </c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</row>
    <row r="673" spans="1:31" x14ac:dyDescent="0.3">
      <c r="A673" s="176" t="s">
        <v>1216</v>
      </c>
      <c r="B673" s="176" t="s">
        <v>322</v>
      </c>
      <c r="C673" s="25">
        <v>7194888110</v>
      </c>
      <c r="D673" s="188">
        <v>32663</v>
      </c>
      <c r="E673" s="23" t="s">
        <v>1876</v>
      </c>
      <c r="F673" s="23" t="s">
        <v>10</v>
      </c>
      <c r="G673" s="188"/>
      <c r="H673" s="176" t="s">
        <v>1216</v>
      </c>
      <c r="I673" s="176" t="s">
        <v>322</v>
      </c>
      <c r="J673" s="25">
        <v>7194888110</v>
      </c>
      <c r="K673" s="188">
        <v>32663</v>
      </c>
      <c r="L673" s="23" t="s">
        <v>1876</v>
      </c>
      <c r="M673" s="23" t="s">
        <v>10</v>
      </c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</row>
    <row r="674" spans="1:31" x14ac:dyDescent="0.3">
      <c r="A674" s="176" t="s">
        <v>1217</v>
      </c>
      <c r="B674" s="176" t="s">
        <v>1218</v>
      </c>
      <c r="C674" s="25">
        <v>4164633649</v>
      </c>
      <c r="D674" s="188">
        <v>32789</v>
      </c>
      <c r="E674" s="23" t="s">
        <v>1906</v>
      </c>
      <c r="F674" s="23" t="s">
        <v>10</v>
      </c>
      <c r="G674" s="188"/>
      <c r="H674" s="176" t="s">
        <v>1217</v>
      </c>
      <c r="I674" s="176" t="s">
        <v>1218</v>
      </c>
      <c r="J674" s="25">
        <v>4164633649</v>
      </c>
      <c r="K674" s="188">
        <v>32789</v>
      </c>
      <c r="L674" s="23" t="s">
        <v>1906</v>
      </c>
      <c r="M674" s="23" t="s">
        <v>10</v>
      </c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</row>
    <row r="675" spans="1:31" x14ac:dyDescent="0.3">
      <c r="A675" s="176" t="s">
        <v>1219</v>
      </c>
      <c r="B675" s="176" t="s">
        <v>413</v>
      </c>
      <c r="C675" s="25">
        <v>3124137278</v>
      </c>
      <c r="D675" s="188">
        <v>30152</v>
      </c>
      <c r="E675" s="23" t="s">
        <v>1907</v>
      </c>
      <c r="F675" s="23" t="s">
        <v>10</v>
      </c>
      <c r="G675" s="188"/>
      <c r="H675" s="176" t="s">
        <v>1219</v>
      </c>
      <c r="I675" s="176" t="s">
        <v>413</v>
      </c>
      <c r="J675" s="25">
        <v>3124137278</v>
      </c>
      <c r="K675" s="188">
        <v>30152</v>
      </c>
      <c r="L675" s="23" t="s">
        <v>1907</v>
      </c>
      <c r="M675" s="23" t="s">
        <v>10</v>
      </c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</row>
    <row r="676" spans="1:31" x14ac:dyDescent="0.3">
      <c r="A676" s="176" t="s">
        <v>1220</v>
      </c>
      <c r="B676" s="176" t="s">
        <v>1221</v>
      </c>
      <c r="C676" s="25">
        <v>2165250630</v>
      </c>
      <c r="D676" s="188">
        <v>33961</v>
      </c>
      <c r="E676" s="23" t="s">
        <v>1908</v>
      </c>
      <c r="F676" s="23" t="s">
        <v>10</v>
      </c>
      <c r="G676" s="188"/>
      <c r="H676" s="176" t="s">
        <v>1220</v>
      </c>
      <c r="I676" s="176" t="s">
        <v>1221</v>
      </c>
      <c r="J676" s="25">
        <v>2165250630</v>
      </c>
      <c r="K676" s="188">
        <v>33961</v>
      </c>
      <c r="L676" s="23" t="s">
        <v>1908</v>
      </c>
      <c r="M676" s="23" t="s">
        <v>10</v>
      </c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</row>
    <row r="677" spans="1:31" x14ac:dyDescent="0.3">
      <c r="A677" s="176" t="s">
        <v>1222</v>
      </c>
      <c r="B677" s="176" t="s">
        <v>411</v>
      </c>
      <c r="C677" s="25">
        <v>5165786813</v>
      </c>
      <c r="D677" s="188">
        <v>28848</v>
      </c>
      <c r="E677" s="23" t="s">
        <v>1909</v>
      </c>
      <c r="F677" s="23" t="s">
        <v>6</v>
      </c>
      <c r="G677" s="188"/>
      <c r="H677" s="176" t="s">
        <v>1222</v>
      </c>
      <c r="I677" s="176" t="s">
        <v>411</v>
      </c>
      <c r="J677" s="25">
        <v>5165786813</v>
      </c>
      <c r="K677" s="188">
        <v>28848</v>
      </c>
      <c r="L677" s="23" t="s">
        <v>1909</v>
      </c>
      <c r="M677" s="23" t="s">
        <v>6</v>
      </c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</row>
    <row r="678" spans="1:31" x14ac:dyDescent="0.3">
      <c r="A678" s="176" t="s">
        <v>1223</v>
      </c>
      <c r="B678" s="176" t="s">
        <v>690</v>
      </c>
      <c r="C678" s="25">
        <v>4178873234</v>
      </c>
      <c r="D678" s="188">
        <v>30631</v>
      </c>
      <c r="E678" s="23" t="s">
        <v>1910</v>
      </c>
      <c r="F678" s="23" t="s">
        <v>18</v>
      </c>
      <c r="G678" s="188"/>
      <c r="H678" s="176" t="s">
        <v>1223</v>
      </c>
      <c r="I678" s="176" t="s">
        <v>690</v>
      </c>
      <c r="J678" s="25">
        <v>4178873234</v>
      </c>
      <c r="K678" s="188">
        <v>30631</v>
      </c>
      <c r="L678" s="23" t="s">
        <v>1910</v>
      </c>
      <c r="M678" s="23" t="s">
        <v>18</v>
      </c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</row>
    <row r="679" spans="1:31" x14ac:dyDescent="0.3">
      <c r="A679" s="176" t="s">
        <v>1224</v>
      </c>
      <c r="B679" s="176" t="s">
        <v>1225</v>
      </c>
      <c r="C679" s="25">
        <v>9091408985</v>
      </c>
      <c r="D679" s="188">
        <v>28311</v>
      </c>
      <c r="E679" s="23" t="s">
        <v>1911</v>
      </c>
      <c r="F679" s="23" t="s">
        <v>10</v>
      </c>
      <c r="G679" s="188"/>
      <c r="H679" s="176" t="s">
        <v>1224</v>
      </c>
      <c r="I679" s="176" t="s">
        <v>1225</v>
      </c>
      <c r="J679" s="25">
        <v>9091408985</v>
      </c>
      <c r="K679" s="188">
        <v>28311</v>
      </c>
      <c r="L679" s="23" t="s">
        <v>1911</v>
      </c>
      <c r="M679" s="23" t="s">
        <v>10</v>
      </c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</row>
    <row r="680" spans="1:31" x14ac:dyDescent="0.3">
      <c r="A680" s="176" t="s">
        <v>1226</v>
      </c>
      <c r="B680" s="176" t="s">
        <v>1227</v>
      </c>
      <c r="C680" s="25">
        <v>4074194193</v>
      </c>
      <c r="D680" s="188">
        <v>29702</v>
      </c>
      <c r="E680" s="23" t="s">
        <v>1912</v>
      </c>
      <c r="F680" s="23" t="s">
        <v>18</v>
      </c>
      <c r="G680" s="188"/>
      <c r="H680" s="176" t="s">
        <v>1226</v>
      </c>
      <c r="I680" s="176" t="s">
        <v>1227</v>
      </c>
      <c r="J680" s="25">
        <v>4074194193</v>
      </c>
      <c r="K680" s="188">
        <v>29702</v>
      </c>
      <c r="L680" s="23" t="s">
        <v>1912</v>
      </c>
      <c r="M680" s="23" t="s">
        <v>18</v>
      </c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</row>
    <row r="681" spans="1:31" x14ac:dyDescent="0.3">
      <c r="A681" s="176" t="s">
        <v>1228</v>
      </c>
      <c r="B681" s="176" t="s">
        <v>395</v>
      </c>
      <c r="C681" s="25">
        <v>4171765611</v>
      </c>
      <c r="D681" s="188">
        <v>32694</v>
      </c>
      <c r="E681" s="23" t="s">
        <v>1913</v>
      </c>
      <c r="F681" s="23" t="s">
        <v>10</v>
      </c>
      <c r="G681" s="188"/>
      <c r="H681" s="176" t="s">
        <v>1228</v>
      </c>
      <c r="I681" s="176" t="s">
        <v>395</v>
      </c>
      <c r="J681" s="25">
        <v>4171765611</v>
      </c>
      <c r="K681" s="188">
        <v>32694</v>
      </c>
      <c r="L681" s="23" t="s">
        <v>1913</v>
      </c>
      <c r="M681" s="23" t="s">
        <v>10</v>
      </c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</row>
    <row r="682" spans="1:31" x14ac:dyDescent="0.3">
      <c r="A682" s="176" t="s">
        <v>1229</v>
      </c>
      <c r="B682" s="176" t="s">
        <v>1230</v>
      </c>
      <c r="C682" s="25">
        <v>8138721709</v>
      </c>
      <c r="D682" s="188">
        <v>27859</v>
      </c>
      <c r="E682" s="23" t="s">
        <v>1914</v>
      </c>
      <c r="F682" s="23" t="s">
        <v>10</v>
      </c>
      <c r="G682" s="188"/>
      <c r="H682" s="176" t="s">
        <v>1229</v>
      </c>
      <c r="I682" s="176" t="s">
        <v>1230</v>
      </c>
      <c r="J682" s="25">
        <v>8138721709</v>
      </c>
      <c r="K682" s="188">
        <v>27859</v>
      </c>
      <c r="L682" s="23" t="s">
        <v>1914</v>
      </c>
      <c r="M682" s="23" t="s">
        <v>10</v>
      </c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</row>
    <row r="683" spans="1:31" x14ac:dyDescent="0.3">
      <c r="A683" s="176" t="s">
        <v>1231</v>
      </c>
      <c r="B683" s="176" t="s">
        <v>1232</v>
      </c>
      <c r="C683" s="25">
        <v>4148256039</v>
      </c>
      <c r="D683" s="188">
        <v>27858</v>
      </c>
      <c r="E683" s="23" t="s">
        <v>1915</v>
      </c>
      <c r="F683" s="23" t="s">
        <v>10</v>
      </c>
      <c r="G683" s="188"/>
      <c r="H683" s="176" t="s">
        <v>1231</v>
      </c>
      <c r="I683" s="176" t="s">
        <v>1232</v>
      </c>
      <c r="J683" s="25">
        <v>4148256039</v>
      </c>
      <c r="K683" s="188">
        <v>27858</v>
      </c>
      <c r="L683" s="23" t="s">
        <v>1915</v>
      </c>
      <c r="M683" s="23" t="s">
        <v>10</v>
      </c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</row>
    <row r="684" spans="1:31" x14ac:dyDescent="0.3">
      <c r="A684" s="176" t="s">
        <v>1233</v>
      </c>
      <c r="B684" s="176" t="s">
        <v>1234</v>
      </c>
      <c r="C684" s="25">
        <v>7097925201</v>
      </c>
      <c r="D684" s="188">
        <v>35747</v>
      </c>
      <c r="E684" s="23" t="s">
        <v>1916</v>
      </c>
      <c r="F684" s="23" t="s">
        <v>10</v>
      </c>
      <c r="G684" s="188"/>
      <c r="H684" s="176" t="s">
        <v>1233</v>
      </c>
      <c r="I684" s="176" t="s">
        <v>1234</v>
      </c>
      <c r="J684" s="25">
        <v>7097925201</v>
      </c>
      <c r="K684" s="188">
        <v>35747</v>
      </c>
      <c r="L684" s="23" t="s">
        <v>1916</v>
      </c>
      <c r="M684" s="23" t="s">
        <v>10</v>
      </c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</row>
    <row r="685" spans="1:31" x14ac:dyDescent="0.3">
      <c r="A685" s="176" t="s">
        <v>1235</v>
      </c>
      <c r="B685" s="176" t="s">
        <v>423</v>
      </c>
      <c r="C685" s="25">
        <v>4132529195</v>
      </c>
      <c r="D685" s="188">
        <v>29671</v>
      </c>
      <c r="E685" s="23" t="s">
        <v>1917</v>
      </c>
      <c r="F685" s="23" t="s">
        <v>10</v>
      </c>
      <c r="G685" s="188"/>
      <c r="H685" s="176" t="s">
        <v>1235</v>
      </c>
      <c r="I685" s="176" t="s">
        <v>423</v>
      </c>
      <c r="J685" s="25">
        <v>4132529195</v>
      </c>
      <c r="K685" s="188">
        <v>29671</v>
      </c>
      <c r="L685" s="23" t="s">
        <v>1917</v>
      </c>
      <c r="M685" s="23" t="s">
        <v>10</v>
      </c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</row>
    <row r="686" spans="1:31" x14ac:dyDescent="0.3">
      <c r="A686" s="176" t="s">
        <v>1236</v>
      </c>
      <c r="B686" s="176" t="s">
        <v>684</v>
      </c>
      <c r="C686" s="25">
        <v>2176973131</v>
      </c>
      <c r="D686" s="188">
        <v>35708</v>
      </c>
      <c r="E686" s="23" t="s">
        <v>1918</v>
      </c>
      <c r="F686" s="23" t="s">
        <v>10</v>
      </c>
      <c r="G686" s="188"/>
      <c r="H686" s="176" t="s">
        <v>1236</v>
      </c>
      <c r="I686" s="176" t="s">
        <v>684</v>
      </c>
      <c r="J686" s="25">
        <v>2176973131</v>
      </c>
      <c r="K686" s="188">
        <v>35708</v>
      </c>
      <c r="L686" s="23" t="s">
        <v>1918</v>
      </c>
      <c r="M686" s="23" t="s">
        <v>10</v>
      </c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</row>
    <row r="687" spans="1:31" x14ac:dyDescent="0.3">
      <c r="A687" s="176" t="s">
        <v>1237</v>
      </c>
      <c r="B687" s="176" t="s">
        <v>1238</v>
      </c>
      <c r="C687" s="25">
        <v>4112889182</v>
      </c>
      <c r="D687" s="188">
        <v>28497</v>
      </c>
      <c r="E687" s="23" t="s">
        <v>1919</v>
      </c>
      <c r="F687" s="23" t="s">
        <v>10</v>
      </c>
      <c r="G687" s="188"/>
      <c r="H687" s="176" t="s">
        <v>1237</v>
      </c>
      <c r="I687" s="176" t="s">
        <v>1238</v>
      </c>
      <c r="J687" s="25">
        <v>4112889182</v>
      </c>
      <c r="K687" s="188">
        <v>28497</v>
      </c>
      <c r="L687" s="23" t="s">
        <v>1919</v>
      </c>
      <c r="M687" s="23" t="s">
        <v>10</v>
      </c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</row>
    <row r="688" spans="1:31" x14ac:dyDescent="0.3">
      <c r="A688" s="176" t="s">
        <v>1239</v>
      </c>
      <c r="B688" s="176" t="s">
        <v>411</v>
      </c>
      <c r="C688" s="25">
        <v>7091973267</v>
      </c>
      <c r="D688" s="188">
        <v>29369</v>
      </c>
      <c r="E688" s="23" t="s">
        <v>1920</v>
      </c>
      <c r="F688" s="23" t="s">
        <v>10</v>
      </c>
      <c r="G688" s="188"/>
      <c r="H688" s="176" t="s">
        <v>1239</v>
      </c>
      <c r="I688" s="176" t="s">
        <v>411</v>
      </c>
      <c r="J688" s="25">
        <v>7091973267</v>
      </c>
      <c r="K688" s="188">
        <v>29369</v>
      </c>
      <c r="L688" s="23" t="s">
        <v>1920</v>
      </c>
      <c r="M688" s="23" t="s">
        <v>10</v>
      </c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</row>
    <row r="689" spans="1:31" x14ac:dyDescent="0.3">
      <c r="A689" s="176" t="s">
        <v>1240</v>
      </c>
      <c r="B689" s="176" t="s">
        <v>969</v>
      </c>
      <c r="C689" s="25">
        <v>7052163497</v>
      </c>
      <c r="D689" s="188">
        <v>29787</v>
      </c>
      <c r="E689" s="23" t="s">
        <v>1921</v>
      </c>
      <c r="F689" s="23" t="s">
        <v>18</v>
      </c>
      <c r="G689" s="188"/>
      <c r="H689" s="176" t="s">
        <v>1240</v>
      </c>
      <c r="I689" s="176" t="s">
        <v>969</v>
      </c>
      <c r="J689" s="25">
        <v>7052163497</v>
      </c>
      <c r="K689" s="188">
        <v>29787</v>
      </c>
      <c r="L689" s="23" t="s">
        <v>1921</v>
      </c>
      <c r="M689" s="23" t="s">
        <v>18</v>
      </c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</row>
    <row r="690" spans="1:31" x14ac:dyDescent="0.3">
      <c r="A690" s="176" t="s">
        <v>1241</v>
      </c>
      <c r="B690" s="176" t="s">
        <v>1242</v>
      </c>
      <c r="C690" s="25">
        <v>2026427045</v>
      </c>
      <c r="D690" s="188">
        <v>35194</v>
      </c>
      <c r="E690" s="23" t="s">
        <v>1922</v>
      </c>
      <c r="F690" s="23" t="s">
        <v>10</v>
      </c>
      <c r="G690" s="188"/>
      <c r="H690" s="176" t="s">
        <v>1241</v>
      </c>
      <c r="I690" s="176" t="s">
        <v>1242</v>
      </c>
      <c r="J690" s="25">
        <v>2026427045</v>
      </c>
      <c r="K690" s="188">
        <v>35194</v>
      </c>
      <c r="L690" s="23" t="s">
        <v>1922</v>
      </c>
      <c r="M690" s="23" t="s">
        <v>10</v>
      </c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</row>
    <row r="691" spans="1:31" x14ac:dyDescent="0.3">
      <c r="A691" s="176" t="s">
        <v>1243</v>
      </c>
      <c r="B691" s="176" t="s">
        <v>1244</v>
      </c>
      <c r="C691" s="25">
        <v>9091593705</v>
      </c>
      <c r="D691" s="188">
        <v>28025</v>
      </c>
      <c r="E691" s="23" t="s">
        <v>1923</v>
      </c>
      <c r="F691" s="23" t="s">
        <v>10</v>
      </c>
      <c r="G691" s="188"/>
      <c r="H691" s="176" t="s">
        <v>1243</v>
      </c>
      <c r="I691" s="176" t="s">
        <v>1244</v>
      </c>
      <c r="J691" s="25">
        <v>9091593705</v>
      </c>
      <c r="K691" s="188">
        <v>28025</v>
      </c>
      <c r="L691" s="23" t="s">
        <v>1923</v>
      </c>
      <c r="M691" s="23" t="s">
        <v>10</v>
      </c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</row>
    <row r="692" spans="1:31" x14ac:dyDescent="0.3">
      <c r="A692" s="176" t="s">
        <v>1245</v>
      </c>
      <c r="B692" s="176" t="s">
        <v>836</v>
      </c>
      <c r="C692" s="25">
        <v>2024713628</v>
      </c>
      <c r="D692" s="188">
        <v>27920</v>
      </c>
      <c r="E692" s="23" t="s">
        <v>1924</v>
      </c>
      <c r="F692" s="23" t="s">
        <v>33</v>
      </c>
      <c r="G692" s="188"/>
      <c r="H692" s="176" t="s">
        <v>1245</v>
      </c>
      <c r="I692" s="176" t="s">
        <v>836</v>
      </c>
      <c r="J692" s="25">
        <v>2024713628</v>
      </c>
      <c r="K692" s="188">
        <v>27920</v>
      </c>
      <c r="L692" s="23" t="s">
        <v>1924</v>
      </c>
      <c r="M692" s="23" t="s">
        <v>33</v>
      </c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</row>
    <row r="693" spans="1:31" x14ac:dyDescent="0.3">
      <c r="A693" s="176" t="s">
        <v>1246</v>
      </c>
      <c r="B693" s="176" t="s">
        <v>353</v>
      </c>
      <c r="C693" s="25">
        <v>9156920236</v>
      </c>
      <c r="D693" s="188">
        <v>28613</v>
      </c>
      <c r="E693" s="23" t="s">
        <v>1925</v>
      </c>
      <c r="F693" s="23" t="s">
        <v>10</v>
      </c>
      <c r="G693" s="188"/>
      <c r="H693" s="176" t="s">
        <v>1246</v>
      </c>
      <c r="I693" s="176" t="s">
        <v>353</v>
      </c>
      <c r="J693" s="25">
        <v>9156920236</v>
      </c>
      <c r="K693" s="188">
        <v>28613</v>
      </c>
      <c r="L693" s="23" t="s">
        <v>1925</v>
      </c>
      <c r="M693" s="23" t="s">
        <v>10</v>
      </c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</row>
    <row r="694" spans="1:31" x14ac:dyDescent="0.3">
      <c r="A694" s="176" t="s">
        <v>1247</v>
      </c>
      <c r="B694" s="176" t="s">
        <v>1009</v>
      </c>
      <c r="C694" s="25">
        <v>3011797370</v>
      </c>
      <c r="D694" s="188">
        <v>28933</v>
      </c>
      <c r="E694" s="23" t="s">
        <v>1926</v>
      </c>
      <c r="F694" s="23" t="s">
        <v>10</v>
      </c>
      <c r="G694" s="188"/>
      <c r="H694" s="176" t="s">
        <v>1247</v>
      </c>
      <c r="I694" s="176" t="s">
        <v>1009</v>
      </c>
      <c r="J694" s="25">
        <v>3011797370</v>
      </c>
      <c r="K694" s="188">
        <v>28933</v>
      </c>
      <c r="L694" s="23" t="s">
        <v>1926</v>
      </c>
      <c r="M694" s="23" t="s">
        <v>10</v>
      </c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</row>
    <row r="695" spans="1:31" x14ac:dyDescent="0.3">
      <c r="A695" s="176" t="s">
        <v>1248</v>
      </c>
      <c r="B695" s="176" t="s">
        <v>783</v>
      </c>
      <c r="C695" s="25">
        <v>6121264013</v>
      </c>
      <c r="D695" s="188">
        <v>29787</v>
      </c>
      <c r="E695" s="23" t="s">
        <v>1927</v>
      </c>
      <c r="F695" s="23" t="s">
        <v>18</v>
      </c>
      <c r="G695" s="188"/>
      <c r="H695" s="176" t="s">
        <v>1248</v>
      </c>
      <c r="I695" s="176" t="s">
        <v>783</v>
      </c>
      <c r="J695" s="25">
        <v>6121264013</v>
      </c>
      <c r="K695" s="188">
        <v>29787</v>
      </c>
      <c r="L695" s="23" t="s">
        <v>1927</v>
      </c>
      <c r="M695" s="23" t="s">
        <v>18</v>
      </c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</row>
    <row r="696" spans="1:31" x14ac:dyDescent="0.3">
      <c r="A696" s="176" t="s">
        <v>1249</v>
      </c>
      <c r="B696" s="176" t="s">
        <v>1250</v>
      </c>
      <c r="C696" s="25">
        <v>3124727385</v>
      </c>
      <c r="D696" s="188">
        <v>30496</v>
      </c>
      <c r="E696" s="23" t="s">
        <v>1928</v>
      </c>
      <c r="F696" s="23" t="s">
        <v>18</v>
      </c>
      <c r="G696" s="188"/>
      <c r="H696" s="176" t="s">
        <v>1249</v>
      </c>
      <c r="I696" s="176" t="s">
        <v>1250</v>
      </c>
      <c r="J696" s="25">
        <v>3124727385</v>
      </c>
      <c r="K696" s="188">
        <v>30496</v>
      </c>
      <c r="L696" s="23" t="s">
        <v>1928</v>
      </c>
      <c r="M696" s="23" t="s">
        <v>18</v>
      </c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</row>
    <row r="697" spans="1:31" x14ac:dyDescent="0.3">
      <c r="A697" s="176" t="s">
        <v>1251</v>
      </c>
      <c r="B697" s="176" t="s">
        <v>279</v>
      </c>
      <c r="C697" s="25">
        <v>5122552565</v>
      </c>
      <c r="D697" s="188">
        <v>34693</v>
      </c>
      <c r="E697" s="23" t="s">
        <v>1929</v>
      </c>
      <c r="F697" s="23" t="s">
        <v>10</v>
      </c>
      <c r="G697" s="188"/>
      <c r="H697" s="176" t="s">
        <v>1251</v>
      </c>
      <c r="I697" s="176" t="s">
        <v>279</v>
      </c>
      <c r="J697" s="25">
        <v>5122552565</v>
      </c>
      <c r="K697" s="188">
        <v>34693</v>
      </c>
      <c r="L697" s="23" t="s">
        <v>1929</v>
      </c>
      <c r="M697" s="23" t="s">
        <v>10</v>
      </c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</row>
    <row r="698" spans="1:31" x14ac:dyDescent="0.3">
      <c r="A698" s="176" t="s">
        <v>1252</v>
      </c>
      <c r="B698" s="176" t="s">
        <v>1253</v>
      </c>
      <c r="C698" s="25">
        <v>7014471952</v>
      </c>
      <c r="D698" s="188">
        <v>29899</v>
      </c>
      <c r="E698" s="23" t="s">
        <v>1930</v>
      </c>
      <c r="F698" s="23" t="s">
        <v>10</v>
      </c>
      <c r="G698" s="188"/>
      <c r="H698" s="176" t="s">
        <v>1252</v>
      </c>
      <c r="I698" s="176" t="s">
        <v>1253</v>
      </c>
      <c r="J698" s="25">
        <v>7014471952</v>
      </c>
      <c r="K698" s="188">
        <v>29899</v>
      </c>
      <c r="L698" s="23" t="s">
        <v>1930</v>
      </c>
      <c r="M698" s="23" t="s">
        <v>10</v>
      </c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</row>
    <row r="699" spans="1:31" x14ac:dyDescent="0.3">
      <c r="A699" s="176" t="s">
        <v>232</v>
      </c>
      <c r="B699" s="176" t="s">
        <v>233</v>
      </c>
      <c r="C699" s="25">
        <v>4024532398</v>
      </c>
      <c r="D699" s="188">
        <v>33339</v>
      </c>
      <c r="E699" s="23" t="s">
        <v>1931</v>
      </c>
      <c r="F699" s="23" t="s">
        <v>6</v>
      </c>
      <c r="G699" s="188"/>
      <c r="H699" s="176" t="s">
        <v>232</v>
      </c>
      <c r="I699" s="176" t="s">
        <v>233</v>
      </c>
      <c r="J699" s="25">
        <v>4024532398</v>
      </c>
      <c r="K699" s="188">
        <v>33339</v>
      </c>
      <c r="L699" s="23" t="s">
        <v>1931</v>
      </c>
      <c r="M699" s="23" t="s">
        <v>6</v>
      </c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</row>
    <row r="700" spans="1:31" x14ac:dyDescent="0.3">
      <c r="A700" s="176" t="s">
        <v>1254</v>
      </c>
      <c r="B700" s="176" t="s">
        <v>1255</v>
      </c>
      <c r="C700" s="25">
        <v>5161544288</v>
      </c>
      <c r="D700" s="188">
        <v>34836</v>
      </c>
      <c r="E700" s="23" t="s">
        <v>1932</v>
      </c>
      <c r="F700" s="23" t="s">
        <v>10</v>
      </c>
      <c r="G700" s="188"/>
      <c r="H700" s="176" t="s">
        <v>1254</v>
      </c>
      <c r="I700" s="176" t="s">
        <v>1255</v>
      </c>
      <c r="J700" s="25">
        <v>5161544288</v>
      </c>
      <c r="K700" s="188">
        <v>34836</v>
      </c>
      <c r="L700" s="23" t="s">
        <v>1932</v>
      </c>
      <c r="M700" s="23" t="s">
        <v>10</v>
      </c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</row>
    <row r="701" spans="1:31" x14ac:dyDescent="0.3">
      <c r="A701" s="176" t="s">
        <v>1256</v>
      </c>
      <c r="B701" s="176" t="s">
        <v>1257</v>
      </c>
      <c r="C701" s="25">
        <v>7051201242</v>
      </c>
      <c r="D701" s="188">
        <v>30039</v>
      </c>
      <c r="E701" s="23" t="s">
        <v>1933</v>
      </c>
      <c r="F701" s="23" t="s">
        <v>10</v>
      </c>
      <c r="G701" s="188"/>
      <c r="H701" s="176" t="s">
        <v>1256</v>
      </c>
      <c r="I701" s="176" t="s">
        <v>1257</v>
      </c>
      <c r="J701" s="25">
        <v>7051201242</v>
      </c>
      <c r="K701" s="188">
        <v>30039</v>
      </c>
      <c r="L701" s="23" t="s">
        <v>1933</v>
      </c>
      <c r="M701" s="23" t="s">
        <v>10</v>
      </c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</row>
    <row r="702" spans="1:31" x14ac:dyDescent="0.3">
      <c r="A702" s="176" t="s">
        <v>1258</v>
      </c>
      <c r="B702" s="176" t="s">
        <v>838</v>
      </c>
      <c r="C702" s="25">
        <v>4131162663</v>
      </c>
      <c r="D702" s="188">
        <v>29379</v>
      </c>
      <c r="E702" s="23" t="s">
        <v>1934</v>
      </c>
      <c r="F702" s="23" t="s">
        <v>10</v>
      </c>
      <c r="G702" s="188"/>
      <c r="H702" s="176" t="s">
        <v>1258</v>
      </c>
      <c r="I702" s="176" t="s">
        <v>838</v>
      </c>
      <c r="J702" s="25">
        <v>4131162663</v>
      </c>
      <c r="K702" s="188">
        <v>29379</v>
      </c>
      <c r="L702" s="23" t="s">
        <v>1934</v>
      </c>
      <c r="M702" s="23" t="s">
        <v>10</v>
      </c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</row>
    <row r="703" spans="1:31" x14ac:dyDescent="0.3">
      <c r="A703" s="176" t="s">
        <v>1259</v>
      </c>
      <c r="B703" s="176" t="s">
        <v>1194</v>
      </c>
      <c r="C703" s="25">
        <v>7151559081</v>
      </c>
      <c r="D703" s="188">
        <v>35625</v>
      </c>
      <c r="E703" s="23" t="s">
        <v>1935</v>
      </c>
      <c r="F703" s="23" t="s">
        <v>10</v>
      </c>
      <c r="H703" s="176" t="s">
        <v>1259</v>
      </c>
      <c r="I703" s="176" t="s">
        <v>1194</v>
      </c>
      <c r="J703" s="25">
        <v>7151559081</v>
      </c>
      <c r="K703" s="188">
        <v>35625</v>
      </c>
      <c r="L703" s="23" t="s">
        <v>1935</v>
      </c>
      <c r="M703" s="23" t="s">
        <v>10</v>
      </c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</row>
    <row r="704" spans="1:31" x14ac:dyDescent="0.3">
      <c r="A704" s="176" t="s">
        <v>1260</v>
      </c>
      <c r="B704" s="176" t="s">
        <v>1261</v>
      </c>
      <c r="C704" s="25">
        <v>4188155179</v>
      </c>
      <c r="D704" s="188">
        <v>29487</v>
      </c>
      <c r="E704" s="23" t="s">
        <v>1936</v>
      </c>
      <c r="F704" s="23" t="s">
        <v>6</v>
      </c>
      <c r="H704" s="176" t="s">
        <v>1260</v>
      </c>
      <c r="I704" s="176" t="s">
        <v>1261</v>
      </c>
      <c r="J704" s="25">
        <v>4188155179</v>
      </c>
      <c r="K704" s="188">
        <v>29487</v>
      </c>
      <c r="L704" s="23" t="s">
        <v>1936</v>
      </c>
      <c r="M704" s="23" t="s">
        <v>6</v>
      </c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</row>
    <row r="705" spans="1:31" x14ac:dyDescent="0.3">
      <c r="A705" s="176" t="s">
        <v>254</v>
      </c>
      <c r="B705" s="176" t="s">
        <v>255</v>
      </c>
      <c r="C705" s="25">
        <v>2018359862</v>
      </c>
      <c r="D705" s="188">
        <v>28537</v>
      </c>
      <c r="E705" s="23" t="s">
        <v>1937</v>
      </c>
      <c r="F705" s="23" t="s">
        <v>10</v>
      </c>
      <c r="H705" s="176" t="s">
        <v>254</v>
      </c>
      <c r="I705" s="176" t="s">
        <v>255</v>
      </c>
      <c r="J705" s="25">
        <v>2018359862</v>
      </c>
      <c r="K705" s="188">
        <v>28537</v>
      </c>
      <c r="L705" s="23" t="s">
        <v>1937</v>
      </c>
      <c r="M705" s="23" t="s">
        <v>10</v>
      </c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</row>
    <row r="706" spans="1:31" x14ac:dyDescent="0.3"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</row>
    <row r="707" spans="1:31" x14ac:dyDescent="0.3"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</row>
    <row r="708" spans="1:31" x14ac:dyDescent="0.3"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</row>
    <row r="709" spans="1:31" x14ac:dyDescent="0.3"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</row>
    <row r="710" spans="1:31" x14ac:dyDescent="0.3"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</row>
    <row r="711" spans="1:31" x14ac:dyDescent="0.3"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</row>
    <row r="712" spans="1:31" x14ac:dyDescent="0.3"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</row>
    <row r="713" spans="1:31" x14ac:dyDescent="0.3"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</row>
    <row r="714" spans="1:31" x14ac:dyDescent="0.3"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</row>
  </sheetData>
  <sortState ref="A4:G701">
    <sortCondition ref="A4:A701"/>
  </sortState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/>
  </sheetPr>
  <dimension ref="A1:J34"/>
  <sheetViews>
    <sheetView zoomScale="130" zoomScaleNormal="130" workbookViewId="0">
      <selection activeCell="D4" sqref="D4"/>
    </sheetView>
  </sheetViews>
  <sheetFormatPr defaultColWidth="9.109375" defaultRowHeight="14.4" x14ac:dyDescent="0.3"/>
  <cols>
    <col min="1" max="1" width="18.5546875" style="9" bestFit="1" customWidth="1"/>
    <col min="2" max="5" width="9.44140625" style="9" bestFit="1" customWidth="1"/>
    <col min="6" max="6" width="11.109375" style="9" bestFit="1" customWidth="1"/>
    <col min="7" max="7" width="9.44140625" style="9" bestFit="1" customWidth="1"/>
    <col min="8" max="8" width="9.109375" style="9"/>
    <col min="9" max="9" width="12.6640625" style="9" bestFit="1" customWidth="1"/>
    <col min="10" max="16384" width="9.109375" style="9"/>
  </cols>
  <sheetData>
    <row r="1" spans="1:10" s="163" customFormat="1" ht="16.2" customHeight="1" x14ac:dyDescent="0.3">
      <c r="A1" s="162" t="s">
        <v>202</v>
      </c>
      <c r="B1" s="162"/>
      <c r="C1" s="162"/>
      <c r="D1" s="162"/>
      <c r="E1" s="162"/>
      <c r="F1" s="162"/>
      <c r="G1" s="162"/>
      <c r="I1" s="164"/>
    </row>
    <row r="2" spans="1:10" x14ac:dyDescent="0.3">
      <c r="A2" s="2" t="s">
        <v>1949</v>
      </c>
      <c r="B2" s="2"/>
      <c r="C2" s="2"/>
      <c r="D2" s="2"/>
      <c r="E2" s="2"/>
      <c r="F2" s="2"/>
      <c r="G2" s="2"/>
      <c r="H2" s="7"/>
      <c r="I2" s="10"/>
      <c r="J2" s="7"/>
    </row>
    <row r="3" spans="1:10" x14ac:dyDescent="0.3">
      <c r="A3" s="11"/>
      <c r="B3" s="27" t="s">
        <v>1950</v>
      </c>
      <c r="C3" s="27" t="s">
        <v>1951</v>
      </c>
      <c r="D3" s="27" t="s">
        <v>1952</v>
      </c>
      <c r="E3" s="27" t="s">
        <v>1953</v>
      </c>
      <c r="F3" s="27" t="s">
        <v>149</v>
      </c>
      <c r="G3" s="27" t="s">
        <v>148</v>
      </c>
      <c r="H3" s="7"/>
      <c r="I3" s="8"/>
      <c r="J3" s="7"/>
    </row>
    <row r="4" spans="1:10" x14ac:dyDescent="0.3">
      <c r="A4" s="11" t="s">
        <v>50</v>
      </c>
      <c r="B4" s="12">
        <v>120</v>
      </c>
      <c r="C4" s="12">
        <v>180</v>
      </c>
      <c r="D4" s="12">
        <v>250</v>
      </c>
      <c r="E4" s="12">
        <v>240</v>
      </c>
      <c r="F4" s="12">
        <f>SUM(B4:E4)</f>
        <v>790</v>
      </c>
      <c r="G4" s="12">
        <f>AVERAGE(B4:E4)</f>
        <v>197.5</v>
      </c>
      <c r="H4" s="7"/>
      <c r="I4" s="7"/>
      <c r="J4" s="7"/>
    </row>
    <row r="5" spans="1:10" x14ac:dyDescent="0.3">
      <c r="A5" s="11" t="s">
        <v>58</v>
      </c>
      <c r="B5" s="13">
        <v>100</v>
      </c>
      <c r="C5" s="13">
        <v>130</v>
      </c>
      <c r="D5" s="13">
        <v>120</v>
      </c>
      <c r="E5" s="13">
        <v>220</v>
      </c>
      <c r="F5" s="13">
        <f>SUM(B5:E5)</f>
        <v>570</v>
      </c>
      <c r="G5" s="13">
        <f>AVERAGE(B5:E5)</f>
        <v>142.5</v>
      </c>
      <c r="H5" s="7"/>
      <c r="I5" s="14"/>
      <c r="J5" s="7"/>
    </row>
    <row r="6" spans="1:10" x14ac:dyDescent="0.3">
      <c r="A6" s="11" t="s">
        <v>147</v>
      </c>
      <c r="B6" s="13">
        <f t="shared" ref="B6:E6" si="0">B4-B5</f>
        <v>20</v>
      </c>
      <c r="C6" s="13">
        <f t="shared" si="0"/>
        <v>50</v>
      </c>
      <c r="D6" s="13">
        <f t="shared" si="0"/>
        <v>130</v>
      </c>
      <c r="E6" s="13">
        <f t="shared" si="0"/>
        <v>20</v>
      </c>
      <c r="F6" s="13">
        <f>SUM(B6:E6)</f>
        <v>220</v>
      </c>
      <c r="G6" s="13">
        <f>AVERAGE(B6:E6)</f>
        <v>55</v>
      </c>
      <c r="H6" s="7"/>
      <c r="I6" s="15"/>
      <c r="J6" s="7"/>
    </row>
    <row r="7" spans="1:10" x14ac:dyDescent="0.3">
      <c r="A7" s="11" t="s">
        <v>146</v>
      </c>
      <c r="B7" s="13">
        <f>B6</f>
        <v>20</v>
      </c>
      <c r="C7" s="13">
        <f>C6+B7</f>
        <v>70</v>
      </c>
      <c r="D7" s="13">
        <f>D6+C7</f>
        <v>200</v>
      </c>
      <c r="E7" s="13">
        <f>E6+D7</f>
        <v>220</v>
      </c>
      <c r="F7" s="13"/>
      <c r="G7" s="13"/>
      <c r="H7" s="7"/>
      <c r="I7" s="7"/>
      <c r="J7" s="7"/>
    </row>
    <row r="8" spans="1:10" ht="20.25" customHeight="1" x14ac:dyDescent="0.3">
      <c r="A8" s="11" t="s">
        <v>145</v>
      </c>
      <c r="B8" s="16"/>
      <c r="C8" s="16"/>
      <c r="D8" s="16"/>
      <c r="E8" s="16"/>
      <c r="F8" s="17"/>
      <c r="G8" s="17"/>
      <c r="H8" s="7"/>
      <c r="I8" s="7"/>
      <c r="J8" s="7"/>
    </row>
    <row r="9" spans="1:10" x14ac:dyDescent="0.3">
      <c r="A9" s="9" t="s">
        <v>144</v>
      </c>
      <c r="B9" s="7"/>
      <c r="C9" s="19">
        <f t="shared" ref="C9:E11" si="1">(C4-B4)/B4</f>
        <v>0.5</v>
      </c>
      <c r="D9" s="19">
        <f t="shared" si="1"/>
        <v>0.3888888888888889</v>
      </c>
      <c r="E9" s="19">
        <f t="shared" si="1"/>
        <v>-0.04</v>
      </c>
      <c r="F9" s="19">
        <f>SUM(C9:E9)</f>
        <v>0.8488888888888888</v>
      </c>
      <c r="G9" s="20">
        <f>AVERAGE(C9:F9)</f>
        <v>0.4244444444444444</v>
      </c>
      <c r="H9" s="7"/>
      <c r="I9" s="7"/>
      <c r="J9" s="7"/>
    </row>
    <row r="10" spans="1:10" x14ac:dyDescent="0.3">
      <c r="A10" s="9" t="s">
        <v>143</v>
      </c>
      <c r="B10" s="7"/>
      <c r="C10" s="19">
        <f t="shared" si="1"/>
        <v>0.3</v>
      </c>
      <c r="D10" s="19">
        <f t="shared" si="1"/>
        <v>-7.6923076923076927E-2</v>
      </c>
      <c r="E10" s="19">
        <f t="shared" si="1"/>
        <v>0.83333333333333337</v>
      </c>
      <c r="F10" s="19">
        <f>SUM(C10:E10)</f>
        <v>1.0564102564102564</v>
      </c>
      <c r="G10" s="20">
        <f t="shared" ref="G10:G11" si="2">AVERAGE(C10:F10)</f>
        <v>0.52820512820512822</v>
      </c>
      <c r="H10" s="7"/>
      <c r="I10" s="7"/>
      <c r="J10" s="7"/>
    </row>
    <row r="11" spans="1:10" x14ac:dyDescent="0.3">
      <c r="A11" s="9" t="s">
        <v>142</v>
      </c>
      <c r="B11" s="7"/>
      <c r="C11" s="19">
        <f t="shared" si="1"/>
        <v>1.5</v>
      </c>
      <c r="D11" s="19">
        <f t="shared" si="1"/>
        <v>1.6</v>
      </c>
      <c r="E11" s="19">
        <f t="shared" si="1"/>
        <v>-0.84615384615384615</v>
      </c>
      <c r="F11" s="19">
        <f>SUM(C11:E11)</f>
        <v>2.2538461538461538</v>
      </c>
      <c r="G11" s="20">
        <f t="shared" si="2"/>
        <v>1.1269230769230769</v>
      </c>
      <c r="H11" s="7"/>
      <c r="I11" s="7"/>
      <c r="J11" s="7"/>
    </row>
    <row r="12" spans="1:10" x14ac:dyDescent="0.3">
      <c r="B12" s="7"/>
      <c r="C12" s="7"/>
      <c r="D12" s="7"/>
      <c r="E12" s="7"/>
      <c r="F12" s="7"/>
      <c r="G12" s="7"/>
      <c r="H12" s="7"/>
      <c r="I12" s="7"/>
      <c r="J12" s="7"/>
    </row>
    <row r="13" spans="1:10" x14ac:dyDescent="0.3">
      <c r="A13" s="9" t="s">
        <v>141</v>
      </c>
      <c r="B13" s="198">
        <f t="shared" ref="B13:F13" si="3">B4/B5</f>
        <v>1.2</v>
      </c>
      <c r="C13" s="198">
        <f t="shared" si="3"/>
        <v>1.3846153846153846</v>
      </c>
      <c r="D13" s="198">
        <f t="shared" si="3"/>
        <v>2.0833333333333335</v>
      </c>
      <c r="E13" s="198">
        <f t="shared" si="3"/>
        <v>1.0909090909090908</v>
      </c>
      <c r="F13" s="198">
        <f t="shared" si="3"/>
        <v>1.3859649122807018</v>
      </c>
      <c r="G13" s="7"/>
      <c r="H13" s="7"/>
      <c r="I13" s="7"/>
      <c r="J13" s="7"/>
    </row>
    <row r="14" spans="1:10" x14ac:dyDescent="0.3">
      <c r="A14" s="9" t="s">
        <v>140</v>
      </c>
      <c r="B14" s="198">
        <f t="shared" ref="B14:F14" si="4">B4/B6</f>
        <v>6</v>
      </c>
      <c r="C14" s="198">
        <f t="shared" si="4"/>
        <v>3.6</v>
      </c>
      <c r="D14" s="198">
        <f t="shared" si="4"/>
        <v>1.9230769230769231</v>
      </c>
      <c r="E14" s="198">
        <f t="shared" si="4"/>
        <v>12</v>
      </c>
      <c r="F14" s="198">
        <f t="shared" si="4"/>
        <v>3.5909090909090908</v>
      </c>
      <c r="G14" s="7"/>
      <c r="H14" s="7"/>
      <c r="I14" s="7"/>
      <c r="J14" s="7"/>
    </row>
    <row r="15" spans="1:10" x14ac:dyDescent="0.3">
      <c r="A15" s="9" t="s">
        <v>139</v>
      </c>
      <c r="B15" s="198">
        <f t="shared" ref="B15:F15" si="5">B5/B6</f>
        <v>5</v>
      </c>
      <c r="C15" s="198">
        <f t="shared" si="5"/>
        <v>2.6</v>
      </c>
      <c r="D15" s="198">
        <f t="shared" si="5"/>
        <v>0.92307692307692313</v>
      </c>
      <c r="E15" s="198">
        <f t="shared" si="5"/>
        <v>11</v>
      </c>
      <c r="F15" s="198">
        <f t="shared" si="5"/>
        <v>2.5909090909090908</v>
      </c>
      <c r="G15" s="7"/>
      <c r="H15" s="7"/>
      <c r="I15" s="7"/>
      <c r="J15" s="7"/>
    </row>
    <row r="16" spans="1:10" x14ac:dyDescent="0.3">
      <c r="A16" s="18"/>
      <c r="B16" s="21"/>
      <c r="C16" s="21"/>
      <c r="D16" s="21"/>
      <c r="E16" s="21"/>
      <c r="F16" s="21"/>
      <c r="G16" s="7"/>
      <c r="H16" s="7"/>
      <c r="I16" s="7"/>
      <c r="J16" s="7"/>
    </row>
    <row r="17" spans="1:10" x14ac:dyDescent="0.3">
      <c r="A17" s="18"/>
      <c r="B17" s="21"/>
      <c r="C17" s="21"/>
      <c r="D17" s="21"/>
      <c r="E17" s="21"/>
      <c r="F17" s="21"/>
      <c r="G17" s="7"/>
      <c r="H17" s="7"/>
      <c r="I17" s="7"/>
      <c r="J17" s="7"/>
    </row>
    <row r="18" spans="1:10" x14ac:dyDescent="0.3">
      <c r="B18" s="21"/>
      <c r="C18" s="21"/>
      <c r="D18" s="21"/>
      <c r="E18" s="21"/>
      <c r="F18" s="21"/>
      <c r="G18" s="7"/>
      <c r="H18" s="7"/>
      <c r="I18" s="7"/>
      <c r="J18" s="7"/>
    </row>
    <row r="19" spans="1:10" x14ac:dyDescent="0.3">
      <c r="B19" s="21"/>
      <c r="C19" s="21"/>
      <c r="D19" s="21"/>
      <c r="E19" s="21"/>
      <c r="F19" s="21"/>
      <c r="G19" s="7"/>
      <c r="H19" s="7"/>
      <c r="I19" s="7"/>
      <c r="J19" s="7"/>
    </row>
    <row r="20" spans="1:10" x14ac:dyDescent="0.3">
      <c r="A20" s="18"/>
      <c r="B20" s="21"/>
      <c r="C20" s="21"/>
      <c r="D20" s="21"/>
      <c r="E20" s="21"/>
      <c r="F20" s="21"/>
      <c r="G20" s="7"/>
      <c r="H20" s="7"/>
      <c r="I20" s="7"/>
      <c r="J20" s="7"/>
    </row>
    <row r="21" spans="1:10" x14ac:dyDescent="0.3">
      <c r="A21" s="18"/>
      <c r="B21" s="21"/>
      <c r="C21" s="21"/>
      <c r="D21" s="21"/>
      <c r="E21" s="21"/>
      <c r="F21" s="21"/>
      <c r="G21" s="7"/>
      <c r="H21" s="7"/>
      <c r="I21" s="7"/>
      <c r="J21" s="7"/>
    </row>
    <row r="22" spans="1:10" x14ac:dyDescent="0.3">
      <c r="A22" s="22"/>
      <c r="B22" s="21"/>
      <c r="C22" s="21"/>
      <c r="D22" s="21"/>
      <c r="E22" s="21"/>
      <c r="F22" s="21"/>
      <c r="G22" s="7"/>
      <c r="H22" s="7"/>
      <c r="I22" s="7"/>
      <c r="J22" s="7"/>
    </row>
    <row r="23" spans="1:10" x14ac:dyDescent="0.3">
      <c r="A23" s="18"/>
      <c r="B23" s="21"/>
      <c r="C23" s="21"/>
      <c r="D23" s="21"/>
      <c r="E23" s="21"/>
      <c r="F23" s="21"/>
      <c r="G23" s="7"/>
      <c r="H23" s="7"/>
      <c r="I23" s="7"/>
      <c r="J23" s="7"/>
    </row>
    <row r="24" spans="1:10" x14ac:dyDescent="0.3">
      <c r="A24" s="18"/>
      <c r="B24" s="21"/>
      <c r="C24" s="21"/>
      <c r="D24" s="21"/>
      <c r="E24" s="21"/>
      <c r="F24" s="21"/>
      <c r="G24" s="7"/>
      <c r="H24" s="7"/>
      <c r="I24" s="7"/>
      <c r="J24" s="7"/>
    </row>
    <row r="25" spans="1:10" x14ac:dyDescent="0.3">
      <c r="A25" s="18"/>
      <c r="B25" s="21"/>
      <c r="C25" s="21"/>
      <c r="D25" s="21"/>
      <c r="E25" s="21"/>
      <c r="F25" s="21"/>
      <c r="G25" s="7"/>
      <c r="H25" s="7"/>
      <c r="I25" s="7"/>
      <c r="J25" s="7"/>
    </row>
    <row r="26" spans="1:10" x14ac:dyDescent="0.3">
      <c r="A26" s="18"/>
      <c r="B26" s="21"/>
      <c r="C26" s="21"/>
      <c r="D26" s="21"/>
      <c r="E26" s="21"/>
      <c r="F26" s="21"/>
      <c r="G26" s="7"/>
      <c r="H26" s="7"/>
      <c r="I26" s="7"/>
      <c r="J26" s="7"/>
    </row>
    <row r="27" spans="1:10" x14ac:dyDescent="0.3">
      <c r="A27" s="18"/>
      <c r="B27" s="21"/>
      <c r="C27" s="21"/>
      <c r="D27" s="21"/>
      <c r="E27" s="21"/>
      <c r="F27" s="21"/>
      <c r="G27" s="7"/>
      <c r="H27" s="7"/>
      <c r="I27" s="7"/>
      <c r="J27" s="7"/>
    </row>
    <row r="28" spans="1:10" x14ac:dyDescent="0.3">
      <c r="A28" s="18"/>
      <c r="B28" s="21"/>
      <c r="C28" s="21"/>
      <c r="D28" s="21"/>
      <c r="E28" s="21"/>
      <c r="F28" s="21"/>
      <c r="G28" s="7"/>
      <c r="H28" s="7"/>
      <c r="I28" s="7"/>
      <c r="J28" s="7"/>
    </row>
    <row r="29" spans="1:10" x14ac:dyDescent="0.3">
      <c r="A29" s="18"/>
      <c r="B29" s="21"/>
      <c r="C29" s="21"/>
      <c r="D29" s="21"/>
      <c r="E29" s="21"/>
      <c r="F29" s="21"/>
      <c r="G29" s="7"/>
      <c r="H29" s="7"/>
      <c r="I29" s="7"/>
      <c r="J29" s="7"/>
    </row>
    <row r="30" spans="1:10" x14ac:dyDescent="0.3">
      <c r="A30" s="18"/>
      <c r="B30" s="21"/>
      <c r="C30" s="21"/>
      <c r="D30" s="21"/>
      <c r="E30" s="21"/>
      <c r="F30" s="21"/>
      <c r="G30" s="7"/>
      <c r="H30" s="7"/>
      <c r="I30" s="7"/>
      <c r="J30" s="7"/>
    </row>
    <row r="31" spans="1:10" x14ac:dyDescent="0.3">
      <c r="A31" s="18"/>
      <c r="B31" s="21"/>
      <c r="C31" s="21"/>
      <c r="D31" s="21"/>
      <c r="E31" s="21"/>
      <c r="F31" s="21"/>
      <c r="G31" s="7"/>
      <c r="H31" s="7"/>
      <c r="I31" s="7"/>
      <c r="J31" s="7"/>
    </row>
    <row r="32" spans="1:10" x14ac:dyDescent="0.3">
      <c r="A32" s="18"/>
      <c r="B32" s="21"/>
      <c r="C32" s="21"/>
      <c r="D32" s="21"/>
      <c r="E32" s="21"/>
      <c r="F32" s="21"/>
      <c r="G32" s="7"/>
      <c r="H32" s="7"/>
      <c r="I32" s="7"/>
      <c r="J32" s="7"/>
    </row>
    <row r="33" spans="1:10" x14ac:dyDescent="0.3">
      <c r="A33" s="18"/>
      <c r="B33" s="21"/>
      <c r="C33" s="21"/>
      <c r="D33" s="21"/>
      <c r="E33" s="21"/>
      <c r="F33" s="21"/>
      <c r="G33" s="7"/>
      <c r="H33" s="7"/>
      <c r="I33" s="7"/>
      <c r="J33" s="7"/>
    </row>
    <row r="34" spans="1:10" x14ac:dyDescent="0.3">
      <c r="A34" s="18"/>
      <c r="B34" s="21"/>
      <c r="C34" s="21"/>
      <c r="D34" s="21"/>
      <c r="E34" s="21"/>
      <c r="F34" s="21"/>
      <c r="G34" s="7"/>
      <c r="H34" s="7"/>
      <c r="I34" s="7"/>
      <c r="J34" s="7"/>
    </row>
  </sheetData>
  <mergeCells count="1">
    <mergeCell ref="A2:G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:AG713"/>
  <sheetViews>
    <sheetView zoomScaleNormal="100" zoomScaleSheetLayoutView="100" workbookViewId="0">
      <selection activeCell="L5" sqref="L5"/>
    </sheetView>
  </sheetViews>
  <sheetFormatPr defaultColWidth="19.88671875" defaultRowHeight="14.4" x14ac:dyDescent="0.3"/>
  <cols>
    <col min="1" max="1" width="15.109375" style="23" customWidth="1"/>
    <col min="2" max="2" width="19.109375" style="23" customWidth="1"/>
    <col min="3" max="3" width="16.21875" style="26" customWidth="1"/>
    <col min="4" max="4" width="15.33203125" style="23" customWidth="1"/>
    <col min="5" max="5" width="13.33203125" style="23" bestFit="1" customWidth="1"/>
    <col min="6" max="6" width="13.33203125" style="23" customWidth="1"/>
    <col min="7" max="7" width="12.88671875" style="24" customWidth="1"/>
    <col min="8" max="8" width="19.21875" style="23" customWidth="1"/>
    <col min="9" max="9" width="11" style="23" customWidth="1"/>
    <col min="10" max="10" width="5.109375" style="23" customWidth="1"/>
    <col min="11" max="11" width="5.5546875" style="23" bestFit="1" customWidth="1"/>
    <col min="12" max="13" width="4.44140625" style="23" bestFit="1" customWidth="1"/>
    <col min="14" max="14" width="14.77734375" style="23" customWidth="1"/>
    <col min="15" max="16" width="4.44140625" style="23" bestFit="1" customWidth="1"/>
    <col min="17" max="17" width="6.33203125" style="23" customWidth="1"/>
    <col min="18" max="18" width="5.109375" style="23" bestFit="1" customWidth="1"/>
    <col min="19" max="23" width="4.44140625" style="23" bestFit="1" customWidth="1"/>
    <col min="24" max="27" width="19.88671875" style="23"/>
    <col min="28" max="28" width="8.44140625" style="23" bestFit="1" customWidth="1"/>
    <col min="29" max="29" width="8.88671875" style="23" bestFit="1" customWidth="1"/>
    <col min="30" max="30" width="4.5546875" style="23" bestFit="1" customWidth="1"/>
    <col min="31" max="16384" width="19.88671875" style="23"/>
  </cols>
  <sheetData>
    <row r="1" spans="1:33" s="185" customFormat="1" ht="28.8" x14ac:dyDescent="0.55000000000000004">
      <c r="A1" s="184" t="s">
        <v>1264</v>
      </c>
      <c r="K1" s="185" t="s">
        <v>1938</v>
      </c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  <c r="AG1" s="186"/>
    </row>
    <row r="2" spans="1:33" s="140" customFormat="1" ht="18" x14ac:dyDescent="0.35">
      <c r="I2" s="141"/>
      <c r="K2" s="23">
        <v>1</v>
      </c>
      <c r="L2" t="s">
        <v>1957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33" ht="18" x14ac:dyDescent="0.3">
      <c r="A3" s="137" t="s">
        <v>1262</v>
      </c>
      <c r="B3" s="137" t="s">
        <v>156</v>
      </c>
      <c r="C3" s="137" t="s">
        <v>0</v>
      </c>
      <c r="D3" s="138" t="s">
        <v>1</v>
      </c>
      <c r="E3" s="139" t="s">
        <v>2</v>
      </c>
      <c r="F3" s="139" t="s">
        <v>1941</v>
      </c>
      <c r="G3" s="137" t="s">
        <v>3</v>
      </c>
      <c r="H3" s="137" t="s">
        <v>1265</v>
      </c>
      <c r="I3"/>
      <c r="K3" s="23">
        <v>2</v>
      </c>
      <c r="L3" t="s">
        <v>1958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 ht="17.399999999999999" customHeight="1" x14ac:dyDescent="0.3">
      <c r="A4" s="176" t="s">
        <v>252</v>
      </c>
      <c r="B4" s="176" t="s">
        <v>253</v>
      </c>
      <c r="C4" s="23" t="s">
        <v>25</v>
      </c>
      <c r="D4" s="23" t="s">
        <v>1267</v>
      </c>
      <c r="E4" s="25">
        <v>3128211050</v>
      </c>
      <c r="F4" s="188">
        <v>30152</v>
      </c>
      <c r="G4" s="23" t="s">
        <v>10</v>
      </c>
      <c r="H4" s="180">
        <v>32.442625995812939</v>
      </c>
      <c r="I4" s="188"/>
      <c r="K4" s="23">
        <v>3</v>
      </c>
      <c r="L4" s="23" t="s">
        <v>1959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 x14ac:dyDescent="0.3">
      <c r="A5" s="176" t="s">
        <v>245</v>
      </c>
      <c r="B5" s="176" t="s">
        <v>246</v>
      </c>
      <c r="C5" s="23" t="s">
        <v>27</v>
      </c>
      <c r="D5" s="23" t="s">
        <v>1268</v>
      </c>
      <c r="E5" s="25">
        <v>4077317354</v>
      </c>
      <c r="F5" s="188">
        <v>33961</v>
      </c>
      <c r="G5" s="23" t="s">
        <v>18</v>
      </c>
      <c r="H5" s="180">
        <v>31.064715778964835</v>
      </c>
      <c r="I5" s="188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 x14ac:dyDescent="0.3">
      <c r="A6" s="176" t="s">
        <v>266</v>
      </c>
      <c r="B6" s="176" t="s">
        <v>267</v>
      </c>
      <c r="C6" s="26" t="s">
        <v>5</v>
      </c>
      <c r="D6" s="23" t="s">
        <v>1269</v>
      </c>
      <c r="E6" s="181">
        <v>7133294956</v>
      </c>
      <c r="F6" s="188">
        <v>28848</v>
      </c>
      <c r="G6" s="182" t="s">
        <v>1266</v>
      </c>
      <c r="H6" s="183">
        <v>37.605933950464205</v>
      </c>
      <c r="I6" s="188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 x14ac:dyDescent="0.3">
      <c r="A7" s="176" t="s">
        <v>216</v>
      </c>
      <c r="B7" s="176" t="s">
        <v>217</v>
      </c>
      <c r="C7" s="23" t="s">
        <v>23</v>
      </c>
      <c r="D7" s="23" t="s">
        <v>1270</v>
      </c>
      <c r="E7" s="25">
        <v>7161517218</v>
      </c>
      <c r="F7" s="188">
        <v>30631</v>
      </c>
      <c r="G7" s="23" t="s">
        <v>10</v>
      </c>
      <c r="H7" s="180">
        <v>35.518706658394478</v>
      </c>
      <c r="I7" s="188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33" x14ac:dyDescent="0.3">
      <c r="A8" s="176" t="s">
        <v>250</v>
      </c>
      <c r="B8" s="176" t="s">
        <v>251</v>
      </c>
      <c r="C8" s="23" t="s">
        <v>9</v>
      </c>
      <c r="D8" s="23" t="s">
        <v>1271</v>
      </c>
      <c r="E8" s="25">
        <v>7087422559</v>
      </c>
      <c r="F8" s="188">
        <v>28311</v>
      </c>
      <c r="G8" s="23" t="s">
        <v>10</v>
      </c>
      <c r="H8" s="180">
        <v>30.334409865934845</v>
      </c>
      <c r="I8" s="18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 x14ac:dyDescent="0.3">
      <c r="A9" s="176" t="s">
        <v>268</v>
      </c>
      <c r="B9" s="176" t="s">
        <v>269</v>
      </c>
      <c r="C9" s="23" t="s">
        <v>32</v>
      </c>
      <c r="D9" s="23" t="s">
        <v>1272</v>
      </c>
      <c r="E9" s="25">
        <v>7146593848</v>
      </c>
      <c r="F9" s="188">
        <v>29702</v>
      </c>
      <c r="G9" s="23" t="s">
        <v>33</v>
      </c>
      <c r="H9" s="180">
        <v>38.87311846872376</v>
      </c>
      <c r="I9" s="188"/>
      <c r="L9"/>
      <c r="M9"/>
      <c r="N9" s="187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</row>
    <row r="10" spans="1:33" x14ac:dyDescent="0.3">
      <c r="A10" s="176" t="s">
        <v>270</v>
      </c>
      <c r="B10" s="176" t="s">
        <v>271</v>
      </c>
      <c r="C10" s="23" t="s">
        <v>34</v>
      </c>
      <c r="D10" s="23" t="s">
        <v>1273</v>
      </c>
      <c r="E10" s="25">
        <v>7161854525</v>
      </c>
      <c r="F10" s="188">
        <v>32694</v>
      </c>
      <c r="G10" s="23" t="s">
        <v>10</v>
      </c>
      <c r="H10" s="180">
        <v>30.745236990821741</v>
      </c>
      <c r="I10" s="188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 x14ac:dyDescent="0.3">
      <c r="A11" s="176" t="s">
        <v>272</v>
      </c>
      <c r="B11" s="176" t="s">
        <v>273</v>
      </c>
      <c r="C11" s="23" t="s">
        <v>34</v>
      </c>
      <c r="D11" s="23" t="s">
        <v>1274</v>
      </c>
      <c r="E11" s="25">
        <v>9144555389</v>
      </c>
      <c r="F11" s="188">
        <v>27859</v>
      </c>
      <c r="G11" s="23" t="s">
        <v>10</v>
      </c>
      <c r="H11" s="180">
        <v>32.520723091605483</v>
      </c>
      <c r="I11" s="188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 x14ac:dyDescent="0.3">
      <c r="A12" s="176" t="s">
        <v>274</v>
      </c>
      <c r="B12" s="176" t="s">
        <v>275</v>
      </c>
      <c r="C12" s="23" t="s">
        <v>28</v>
      </c>
      <c r="D12" s="23" t="s">
        <v>1275</v>
      </c>
      <c r="E12" s="25">
        <v>2136306545</v>
      </c>
      <c r="F12" s="188">
        <v>27858</v>
      </c>
      <c r="G12" s="23" t="s">
        <v>6</v>
      </c>
      <c r="H12" s="180">
        <v>37.236901406434853</v>
      </c>
      <c r="I12" s="188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</row>
    <row r="13" spans="1:33" x14ac:dyDescent="0.3">
      <c r="A13" s="176" t="s">
        <v>276</v>
      </c>
      <c r="B13" s="176" t="s">
        <v>277</v>
      </c>
      <c r="C13" s="23" t="s">
        <v>5</v>
      </c>
      <c r="D13" s="23" t="s">
        <v>1276</v>
      </c>
      <c r="E13" s="25">
        <v>3196007063</v>
      </c>
      <c r="F13" s="188">
        <v>35747</v>
      </c>
      <c r="G13" s="23" t="s">
        <v>18</v>
      </c>
      <c r="H13" s="180">
        <v>33.191968768871376</v>
      </c>
      <c r="I13" s="188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1:33" x14ac:dyDescent="0.3">
      <c r="A14" s="176" t="s">
        <v>278</v>
      </c>
      <c r="B14" s="176" t="s">
        <v>279</v>
      </c>
      <c r="C14" s="23" t="s">
        <v>23</v>
      </c>
      <c r="D14" s="23" t="s">
        <v>1277</v>
      </c>
      <c r="E14" s="25">
        <v>5158842613</v>
      </c>
      <c r="F14" s="188">
        <v>29671</v>
      </c>
      <c r="G14" s="23" t="s">
        <v>6</v>
      </c>
      <c r="H14" s="180">
        <v>31.087446908953559</v>
      </c>
      <c r="I14" s="188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 x14ac:dyDescent="0.3">
      <c r="A15" s="176" t="s">
        <v>280</v>
      </c>
      <c r="B15" s="176" t="s">
        <v>281</v>
      </c>
      <c r="C15" s="23" t="s">
        <v>25</v>
      </c>
      <c r="D15" s="23" t="s">
        <v>1278</v>
      </c>
      <c r="E15" s="25">
        <v>3164160215</v>
      </c>
      <c r="F15" s="188">
        <v>35708</v>
      </c>
      <c r="G15" s="23" t="s">
        <v>10</v>
      </c>
      <c r="H15" s="180">
        <v>34.940647715851121</v>
      </c>
      <c r="I15" s="188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 x14ac:dyDescent="0.3">
      <c r="A16" s="176" t="s">
        <v>282</v>
      </c>
      <c r="B16" s="176" t="s">
        <v>283</v>
      </c>
      <c r="C16" s="23" t="s">
        <v>25</v>
      </c>
      <c r="D16" s="23" t="s">
        <v>1279</v>
      </c>
      <c r="E16" s="25">
        <v>6077904981</v>
      </c>
      <c r="F16" s="188">
        <v>28497</v>
      </c>
      <c r="G16" s="23" t="s">
        <v>10</v>
      </c>
      <c r="H16" s="180">
        <v>32.163213415551731</v>
      </c>
      <c r="I16" s="188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1:33" x14ac:dyDescent="0.3">
      <c r="A17" s="176" t="s">
        <v>284</v>
      </c>
      <c r="B17" s="176" t="s">
        <v>285</v>
      </c>
      <c r="C17" s="23" t="s">
        <v>27</v>
      </c>
      <c r="D17" s="23" t="s">
        <v>1280</v>
      </c>
      <c r="E17" s="25">
        <v>4065699651</v>
      </c>
      <c r="F17" s="188">
        <v>29369</v>
      </c>
      <c r="G17" s="23" t="s">
        <v>10</v>
      </c>
      <c r="H17" s="180">
        <v>30.014026087504668</v>
      </c>
      <c r="I17" s="188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3" x14ac:dyDescent="0.3">
      <c r="A18" s="176" t="s">
        <v>218</v>
      </c>
      <c r="B18" s="176" t="s">
        <v>219</v>
      </c>
      <c r="C18" s="23" t="s">
        <v>9</v>
      </c>
      <c r="D18" s="23" t="s">
        <v>1281</v>
      </c>
      <c r="E18" s="25">
        <v>2176092172</v>
      </c>
      <c r="F18" s="188">
        <v>29787</v>
      </c>
      <c r="G18" s="23" t="s">
        <v>10</v>
      </c>
      <c r="H18" s="180">
        <v>32.576800705100965</v>
      </c>
      <c r="I18" s="18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3" x14ac:dyDescent="0.3">
      <c r="A19" s="176" t="s">
        <v>286</v>
      </c>
      <c r="B19" s="176" t="s">
        <v>271</v>
      </c>
      <c r="C19" s="23" t="s">
        <v>23</v>
      </c>
      <c r="D19" s="23" t="s">
        <v>1282</v>
      </c>
      <c r="E19" s="25">
        <v>3128742282</v>
      </c>
      <c r="F19" s="188">
        <v>35194</v>
      </c>
      <c r="G19" s="23" t="s">
        <v>10</v>
      </c>
      <c r="H19" s="180">
        <v>38.874295284080574</v>
      </c>
      <c r="I19" s="188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</row>
    <row r="20" spans="1:33" x14ac:dyDescent="0.3">
      <c r="A20" s="176" t="s">
        <v>287</v>
      </c>
      <c r="B20" s="176" t="s">
        <v>288</v>
      </c>
      <c r="C20" s="23" t="s">
        <v>26</v>
      </c>
      <c r="D20" s="23" t="s">
        <v>1283</v>
      </c>
      <c r="E20" s="25">
        <v>5088097539</v>
      </c>
      <c r="F20" s="188">
        <v>28025</v>
      </c>
      <c r="G20" s="23" t="s">
        <v>18</v>
      </c>
      <c r="H20" s="180">
        <v>35.355598970066168</v>
      </c>
      <c r="I20" s="188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</row>
    <row r="21" spans="1:33" x14ac:dyDescent="0.3">
      <c r="A21" s="176" t="s">
        <v>289</v>
      </c>
      <c r="B21" s="176" t="s">
        <v>290</v>
      </c>
      <c r="C21" s="23" t="s">
        <v>23</v>
      </c>
      <c r="D21" s="23" t="s">
        <v>1284</v>
      </c>
      <c r="E21" s="25">
        <v>2142636516</v>
      </c>
      <c r="F21" s="188">
        <v>27920</v>
      </c>
      <c r="G21" s="23" t="s">
        <v>6</v>
      </c>
      <c r="H21" s="180">
        <v>34.622945583588212</v>
      </c>
      <c r="I21" s="188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</row>
    <row r="22" spans="1:33" x14ac:dyDescent="0.3">
      <c r="A22" s="176" t="s">
        <v>291</v>
      </c>
      <c r="B22" s="176" t="s">
        <v>292</v>
      </c>
      <c r="C22" s="23" t="s">
        <v>5</v>
      </c>
      <c r="D22" s="23" t="s">
        <v>1285</v>
      </c>
      <c r="E22" s="25">
        <v>5025724528</v>
      </c>
      <c r="F22" s="188">
        <v>28613</v>
      </c>
      <c r="G22" s="23" t="s">
        <v>10</v>
      </c>
      <c r="H22" s="180">
        <v>34.092568445749492</v>
      </c>
      <c r="I22" s="188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</row>
    <row r="23" spans="1:33" x14ac:dyDescent="0.3">
      <c r="A23" s="176" t="s">
        <v>293</v>
      </c>
      <c r="B23" s="176" t="s">
        <v>294</v>
      </c>
      <c r="C23" s="23" t="s">
        <v>30</v>
      </c>
      <c r="D23" s="23" t="s">
        <v>1286</v>
      </c>
      <c r="E23" s="25">
        <v>4134316324</v>
      </c>
      <c r="F23" s="188">
        <v>28933</v>
      </c>
      <c r="G23" s="23" t="s">
        <v>10</v>
      </c>
      <c r="H23" s="180">
        <v>32.655948063875101</v>
      </c>
      <c r="I23" s="188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</row>
    <row r="24" spans="1:33" x14ac:dyDescent="0.3">
      <c r="A24" s="176" t="s">
        <v>295</v>
      </c>
      <c r="B24" s="176" t="s">
        <v>296</v>
      </c>
      <c r="C24" s="23" t="s">
        <v>23</v>
      </c>
      <c r="D24" s="23" t="s">
        <v>1287</v>
      </c>
      <c r="E24" s="25">
        <v>6187103200</v>
      </c>
      <c r="F24" s="188">
        <v>29787</v>
      </c>
      <c r="G24" s="23" t="s">
        <v>10</v>
      </c>
      <c r="H24" s="180">
        <v>38.679499693167301</v>
      </c>
      <c r="I24" s="188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33" x14ac:dyDescent="0.3">
      <c r="A25" s="176" t="s">
        <v>297</v>
      </c>
      <c r="B25" s="176" t="s">
        <v>298</v>
      </c>
      <c r="C25" s="23" t="s">
        <v>31</v>
      </c>
      <c r="D25" s="23" t="s">
        <v>1288</v>
      </c>
      <c r="E25" s="25">
        <v>3037345539</v>
      </c>
      <c r="F25" s="188">
        <v>30496</v>
      </c>
      <c r="G25" s="23" t="s">
        <v>10</v>
      </c>
      <c r="H25" s="180">
        <v>35.034704601456582</v>
      </c>
      <c r="I25" s="188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</row>
    <row r="26" spans="1:33" x14ac:dyDescent="0.3">
      <c r="A26" s="176" t="s">
        <v>299</v>
      </c>
      <c r="B26" s="176" t="s">
        <v>300</v>
      </c>
      <c r="C26" s="23" t="s">
        <v>32</v>
      </c>
      <c r="D26" s="23" t="s">
        <v>1289</v>
      </c>
      <c r="E26" s="25">
        <v>7176188082</v>
      </c>
      <c r="F26" s="188">
        <v>34693</v>
      </c>
      <c r="G26" s="23" t="s">
        <v>10</v>
      </c>
      <c r="H26" s="180">
        <v>39.435260606433928</v>
      </c>
      <c r="I26" s="188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</row>
    <row r="27" spans="1:33" x14ac:dyDescent="0.3">
      <c r="A27" s="176" t="s">
        <v>301</v>
      </c>
      <c r="B27" s="176" t="s">
        <v>302</v>
      </c>
      <c r="C27" s="23" t="s">
        <v>9</v>
      </c>
      <c r="D27" s="23" t="s">
        <v>1290</v>
      </c>
      <c r="E27" s="25">
        <v>6017852326</v>
      </c>
      <c r="F27" s="188">
        <v>29899</v>
      </c>
      <c r="G27" s="23" t="s">
        <v>10</v>
      </c>
      <c r="H27" s="180">
        <v>34.457650688992757</v>
      </c>
      <c r="I27" s="188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</row>
    <row r="28" spans="1:33" x14ac:dyDescent="0.3">
      <c r="A28" s="176" t="s">
        <v>303</v>
      </c>
      <c r="B28" s="176" t="s">
        <v>304</v>
      </c>
      <c r="C28" s="23" t="s">
        <v>9</v>
      </c>
      <c r="D28" s="23" t="s">
        <v>1291</v>
      </c>
      <c r="E28" s="25">
        <v>7168561612</v>
      </c>
      <c r="F28" s="188">
        <v>33339</v>
      </c>
      <c r="G28" s="23" t="s">
        <v>6</v>
      </c>
      <c r="H28" s="180">
        <v>39.163845092196979</v>
      </c>
      <c r="I28" s="18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</row>
    <row r="29" spans="1:33" x14ac:dyDescent="0.3">
      <c r="A29" s="176" t="s">
        <v>305</v>
      </c>
      <c r="B29" s="176" t="s">
        <v>306</v>
      </c>
      <c r="C29" s="23" t="s">
        <v>29</v>
      </c>
      <c r="D29" s="23" t="s">
        <v>1292</v>
      </c>
      <c r="E29" s="25">
        <v>5188472270</v>
      </c>
      <c r="F29" s="188">
        <v>34836</v>
      </c>
      <c r="G29" s="23" t="s">
        <v>10</v>
      </c>
      <c r="H29" s="180">
        <v>31.340090306499263</v>
      </c>
      <c r="I29" s="188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</row>
    <row r="30" spans="1:33" x14ac:dyDescent="0.3">
      <c r="A30" s="176" t="s">
        <v>307</v>
      </c>
      <c r="B30" s="176" t="s">
        <v>308</v>
      </c>
      <c r="C30" s="23" t="s">
        <v>30</v>
      </c>
      <c r="D30" s="23" t="s">
        <v>1293</v>
      </c>
      <c r="E30" s="25">
        <v>4086446519</v>
      </c>
      <c r="F30" s="188">
        <v>30039</v>
      </c>
      <c r="G30" s="23" t="s">
        <v>10</v>
      </c>
      <c r="H30" s="180">
        <v>33.003167958691797</v>
      </c>
      <c r="I30" s="188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</row>
    <row r="31" spans="1:33" x14ac:dyDescent="0.3">
      <c r="A31" s="176" t="s">
        <v>309</v>
      </c>
      <c r="B31" s="176" t="s">
        <v>310</v>
      </c>
      <c r="C31" s="23" t="s">
        <v>35</v>
      </c>
      <c r="D31" s="23" t="s">
        <v>1294</v>
      </c>
      <c r="E31" s="25">
        <v>3124743535</v>
      </c>
      <c r="F31" s="188">
        <v>29379</v>
      </c>
      <c r="G31" s="23" t="s">
        <v>10</v>
      </c>
      <c r="H31" s="180">
        <v>31.309793424159171</v>
      </c>
      <c r="I31" s="188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3" x14ac:dyDescent="0.3">
      <c r="A32" s="176" t="s">
        <v>311</v>
      </c>
      <c r="B32" s="176" t="s">
        <v>312</v>
      </c>
      <c r="C32" s="23" t="s">
        <v>9</v>
      </c>
      <c r="D32" s="23" t="s">
        <v>1295</v>
      </c>
      <c r="E32" s="25">
        <v>7035013435</v>
      </c>
      <c r="F32" s="188">
        <v>35625</v>
      </c>
      <c r="G32" s="23" t="s">
        <v>6</v>
      </c>
      <c r="H32" s="180">
        <v>39.832134488240605</v>
      </c>
      <c r="I32" s="188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</row>
    <row r="33" spans="1:33" x14ac:dyDescent="0.3">
      <c r="A33" s="176" t="s">
        <v>313</v>
      </c>
      <c r="B33" s="176" t="s">
        <v>314</v>
      </c>
      <c r="C33" s="23" t="s">
        <v>23</v>
      </c>
      <c r="D33" s="23" t="s">
        <v>1296</v>
      </c>
      <c r="E33" s="25">
        <v>5137722509</v>
      </c>
      <c r="F33" s="188">
        <v>29487</v>
      </c>
      <c r="G33" s="23" t="s">
        <v>10</v>
      </c>
      <c r="H33" s="180">
        <v>35.878240463702909</v>
      </c>
      <c r="I33" s="188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33" x14ac:dyDescent="0.3">
      <c r="A34" s="176" t="s">
        <v>315</v>
      </c>
      <c r="B34" s="176" t="s">
        <v>316</v>
      </c>
      <c r="C34" s="23" t="s">
        <v>17</v>
      </c>
      <c r="D34" s="23" t="s">
        <v>1297</v>
      </c>
      <c r="E34" s="25">
        <v>2121389906</v>
      </c>
      <c r="F34" s="188">
        <v>28537</v>
      </c>
      <c r="G34" s="23" t="s">
        <v>10</v>
      </c>
      <c r="H34" s="180">
        <v>31.234433896016455</v>
      </c>
      <c r="I34" s="18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33" x14ac:dyDescent="0.3">
      <c r="A35" s="176" t="s">
        <v>243</v>
      </c>
      <c r="B35" s="176" t="s">
        <v>219</v>
      </c>
      <c r="C35" s="23" t="s">
        <v>26</v>
      </c>
      <c r="D35" s="23" t="s">
        <v>1298</v>
      </c>
      <c r="E35" s="25">
        <v>9024378387</v>
      </c>
      <c r="F35" s="188">
        <v>30367</v>
      </c>
      <c r="G35" s="23" t="s">
        <v>6</v>
      </c>
      <c r="H35" s="180">
        <v>33.944406641687102</v>
      </c>
      <c r="I35" s="18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33" x14ac:dyDescent="0.3">
      <c r="A36" s="176" t="s">
        <v>317</v>
      </c>
      <c r="B36" s="176" t="s">
        <v>318</v>
      </c>
      <c r="C36" s="23" t="s">
        <v>23</v>
      </c>
      <c r="D36" s="23" t="s">
        <v>1299</v>
      </c>
      <c r="E36" s="25">
        <v>3186757210</v>
      </c>
      <c r="F36" s="188">
        <v>31933</v>
      </c>
      <c r="G36" s="23" t="s">
        <v>6</v>
      </c>
      <c r="H36" s="180">
        <v>36.878564194170757</v>
      </c>
      <c r="I36" s="188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</row>
    <row r="37" spans="1:33" x14ac:dyDescent="0.3">
      <c r="A37" s="176" t="s">
        <v>319</v>
      </c>
      <c r="B37" s="176" t="s">
        <v>320</v>
      </c>
      <c r="C37" s="23" t="s">
        <v>9</v>
      </c>
      <c r="D37" s="23" t="s">
        <v>1300</v>
      </c>
      <c r="E37" s="25">
        <v>3037173558</v>
      </c>
      <c r="F37" s="188">
        <v>32417</v>
      </c>
      <c r="G37" s="23" t="s">
        <v>10</v>
      </c>
      <c r="H37" s="180">
        <v>37.956139206767517</v>
      </c>
      <c r="I37" s="188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3" x14ac:dyDescent="0.3">
      <c r="A38" s="176" t="s">
        <v>321</v>
      </c>
      <c r="B38" s="176" t="s">
        <v>322</v>
      </c>
      <c r="C38" s="23" t="s">
        <v>36</v>
      </c>
      <c r="D38" s="23" t="s">
        <v>1301</v>
      </c>
      <c r="E38" s="25">
        <v>9193122603</v>
      </c>
      <c r="F38" s="188">
        <v>32648</v>
      </c>
      <c r="G38" s="23" t="s">
        <v>10</v>
      </c>
      <c r="H38" s="180">
        <v>34.770312351563646</v>
      </c>
      <c r="I38" s="18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33" x14ac:dyDescent="0.3">
      <c r="A39" s="176" t="s">
        <v>323</v>
      </c>
      <c r="B39" s="176" t="s">
        <v>310</v>
      </c>
      <c r="C39" s="23" t="s">
        <v>28</v>
      </c>
      <c r="D39" s="23" t="s">
        <v>1302</v>
      </c>
      <c r="E39" s="25">
        <v>5113708610</v>
      </c>
      <c r="F39" s="188">
        <v>32663</v>
      </c>
      <c r="G39" s="23" t="s">
        <v>6</v>
      </c>
      <c r="H39" s="180">
        <v>32.115258290880917</v>
      </c>
      <c r="I39" s="188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</row>
    <row r="40" spans="1:33" x14ac:dyDescent="0.3">
      <c r="A40" s="176" t="s">
        <v>324</v>
      </c>
      <c r="B40" s="176" t="s">
        <v>325</v>
      </c>
      <c r="C40" s="23" t="s">
        <v>28</v>
      </c>
      <c r="D40" s="23" t="s">
        <v>1303</v>
      </c>
      <c r="E40" s="25">
        <v>2093492633</v>
      </c>
      <c r="F40" s="188">
        <v>32789</v>
      </c>
      <c r="G40" s="23" t="s">
        <v>6</v>
      </c>
      <c r="H40" s="180">
        <v>38.264662172734567</v>
      </c>
      <c r="I40" s="188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3" x14ac:dyDescent="0.3">
      <c r="A41" s="176" t="s">
        <v>326</v>
      </c>
      <c r="B41" s="176" t="s">
        <v>285</v>
      </c>
      <c r="C41" s="23" t="s">
        <v>28</v>
      </c>
      <c r="D41" s="23" t="s">
        <v>1304</v>
      </c>
      <c r="E41" s="25">
        <v>5055627374</v>
      </c>
      <c r="F41" s="188">
        <v>30152</v>
      </c>
      <c r="G41" s="23" t="s">
        <v>10</v>
      </c>
      <c r="H41" s="180">
        <v>35.929044768803742</v>
      </c>
      <c r="I41" s="188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</row>
    <row r="42" spans="1:33" x14ac:dyDescent="0.3">
      <c r="A42" s="176" t="s">
        <v>327</v>
      </c>
      <c r="B42" s="176" t="s">
        <v>328</v>
      </c>
      <c r="C42" s="23" t="s">
        <v>28</v>
      </c>
      <c r="D42" s="23" t="s">
        <v>1305</v>
      </c>
      <c r="E42" s="25">
        <v>4036194175</v>
      </c>
      <c r="F42" s="188">
        <v>33961</v>
      </c>
      <c r="G42" s="23" t="s">
        <v>33</v>
      </c>
      <c r="H42" s="180">
        <v>33.786688901017108</v>
      </c>
      <c r="I42" s="188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</row>
    <row r="43" spans="1:33" x14ac:dyDescent="0.3">
      <c r="A43" s="176" t="s">
        <v>329</v>
      </c>
      <c r="B43" s="176" t="s">
        <v>330</v>
      </c>
      <c r="C43" s="23" t="s">
        <v>17</v>
      </c>
      <c r="D43" s="23" t="s">
        <v>1306</v>
      </c>
      <c r="E43" s="25">
        <v>4082911046</v>
      </c>
      <c r="F43" s="188">
        <v>28848</v>
      </c>
      <c r="G43" s="23" t="s">
        <v>6</v>
      </c>
      <c r="H43" s="180">
        <v>35.473510771506518</v>
      </c>
      <c r="I43" s="188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</row>
    <row r="44" spans="1:33" x14ac:dyDescent="0.3">
      <c r="A44" s="176" t="s">
        <v>331</v>
      </c>
      <c r="B44" s="176" t="s">
        <v>332</v>
      </c>
      <c r="C44" s="23" t="s">
        <v>23</v>
      </c>
      <c r="D44" s="23" t="s">
        <v>1307</v>
      </c>
      <c r="E44" s="25">
        <v>6163539786</v>
      </c>
      <c r="F44" s="188">
        <v>30631</v>
      </c>
      <c r="G44" s="23" t="s">
        <v>10</v>
      </c>
      <c r="H44" s="180">
        <v>33.130824661146086</v>
      </c>
      <c r="I44" s="188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</row>
    <row r="45" spans="1:33" x14ac:dyDescent="0.3">
      <c r="A45" s="176" t="s">
        <v>333</v>
      </c>
      <c r="B45" s="176" t="s">
        <v>334</v>
      </c>
      <c r="C45" s="23" t="s">
        <v>23</v>
      </c>
      <c r="D45" s="23" t="s">
        <v>1308</v>
      </c>
      <c r="E45" s="25">
        <v>7115526537</v>
      </c>
      <c r="F45" s="188">
        <v>28311</v>
      </c>
      <c r="G45" s="23" t="s">
        <v>10</v>
      </c>
      <c r="H45" s="180">
        <v>37.536533687970099</v>
      </c>
      <c r="I45" s="188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33" x14ac:dyDescent="0.3">
      <c r="A46" s="176" t="s">
        <v>335</v>
      </c>
      <c r="B46" s="176" t="s">
        <v>336</v>
      </c>
      <c r="C46" s="23" t="s">
        <v>17</v>
      </c>
      <c r="D46" s="23" t="s">
        <v>1309</v>
      </c>
      <c r="E46" s="25">
        <v>7147553017</v>
      </c>
      <c r="F46" s="188">
        <v>29702</v>
      </c>
      <c r="G46" s="23" t="s">
        <v>6</v>
      </c>
      <c r="H46" s="180">
        <v>34.086607763070184</v>
      </c>
      <c r="I46" s="188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</row>
    <row r="47" spans="1:33" x14ac:dyDescent="0.3">
      <c r="A47" s="176" t="s">
        <v>337</v>
      </c>
      <c r="B47" s="176" t="s">
        <v>338</v>
      </c>
      <c r="C47" s="23" t="s">
        <v>25</v>
      </c>
      <c r="D47" s="23" t="s">
        <v>1310</v>
      </c>
      <c r="E47" s="25">
        <v>3172778445</v>
      </c>
      <c r="F47" s="188">
        <v>32694</v>
      </c>
      <c r="G47" s="23" t="s">
        <v>6</v>
      </c>
      <c r="H47" s="180">
        <v>31.45578252259125</v>
      </c>
      <c r="I47" s="188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</row>
    <row r="48" spans="1:33" x14ac:dyDescent="0.3">
      <c r="A48" s="176" t="s">
        <v>339</v>
      </c>
      <c r="B48" s="176" t="s">
        <v>340</v>
      </c>
      <c r="C48" s="23" t="s">
        <v>17</v>
      </c>
      <c r="D48" s="23" t="s">
        <v>1311</v>
      </c>
      <c r="E48" s="25">
        <v>5164563177</v>
      </c>
      <c r="F48" s="188">
        <v>27859</v>
      </c>
      <c r="G48" s="23" t="s">
        <v>6</v>
      </c>
      <c r="H48" s="180">
        <v>36.301637391506766</v>
      </c>
      <c r="I48" s="18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49" spans="1:33" x14ac:dyDescent="0.3">
      <c r="A49" s="176" t="s">
        <v>341</v>
      </c>
      <c r="B49" s="176" t="s">
        <v>342</v>
      </c>
      <c r="C49" s="23" t="s">
        <v>30</v>
      </c>
      <c r="D49" s="23" t="s">
        <v>1312</v>
      </c>
      <c r="E49" s="25">
        <v>2188552110</v>
      </c>
      <c r="F49" s="188">
        <v>27858</v>
      </c>
      <c r="G49" s="23" t="s">
        <v>10</v>
      </c>
      <c r="H49" s="180">
        <v>31.607050981204079</v>
      </c>
      <c r="I49" s="188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</row>
    <row r="50" spans="1:33" x14ac:dyDescent="0.3">
      <c r="A50" s="176" t="s">
        <v>343</v>
      </c>
      <c r="B50" s="176" t="s">
        <v>344</v>
      </c>
      <c r="C50" s="23" t="s">
        <v>25</v>
      </c>
      <c r="D50" s="23" t="s">
        <v>1313</v>
      </c>
      <c r="E50" s="25">
        <v>2162238881</v>
      </c>
      <c r="F50" s="188">
        <v>35747</v>
      </c>
      <c r="G50" s="23" t="s">
        <v>10</v>
      </c>
      <c r="H50" s="180">
        <v>34.974633952625993</v>
      </c>
      <c r="I50" s="188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</row>
    <row r="51" spans="1:33" x14ac:dyDescent="0.3">
      <c r="A51" s="176" t="s">
        <v>345</v>
      </c>
      <c r="B51" s="176" t="s">
        <v>346</v>
      </c>
      <c r="C51" s="23" t="s">
        <v>26</v>
      </c>
      <c r="D51" s="23" t="s">
        <v>1314</v>
      </c>
      <c r="E51" s="25">
        <v>7145261239</v>
      </c>
      <c r="F51" s="188">
        <v>29671</v>
      </c>
      <c r="G51" s="23" t="s">
        <v>6</v>
      </c>
      <c r="H51" s="180">
        <v>39.599594399347566</v>
      </c>
      <c r="I51" s="188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33" x14ac:dyDescent="0.3">
      <c r="A52" s="176" t="s">
        <v>347</v>
      </c>
      <c r="B52" s="176" t="s">
        <v>348</v>
      </c>
      <c r="C52" s="23" t="s">
        <v>37</v>
      </c>
      <c r="D52" s="23" t="s">
        <v>1315</v>
      </c>
      <c r="E52" s="25">
        <v>6026299247</v>
      </c>
      <c r="F52" s="188">
        <v>35708</v>
      </c>
      <c r="G52" s="23" t="s">
        <v>18</v>
      </c>
      <c r="H52" s="180">
        <v>30.274059748370934</v>
      </c>
      <c r="I52" s="188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</row>
    <row r="53" spans="1:33" x14ac:dyDescent="0.3">
      <c r="A53" s="176" t="s">
        <v>248</v>
      </c>
      <c r="B53" s="176" t="s">
        <v>249</v>
      </c>
      <c r="C53" s="23" t="s">
        <v>28</v>
      </c>
      <c r="D53" s="23" t="s">
        <v>1316</v>
      </c>
      <c r="E53" s="25">
        <v>7127936742</v>
      </c>
      <c r="F53" s="188">
        <v>28497</v>
      </c>
      <c r="G53" s="23" t="s">
        <v>10</v>
      </c>
      <c r="H53" s="180">
        <v>32.638143474154546</v>
      </c>
      <c r="I53" s="188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</row>
    <row r="54" spans="1:33" x14ac:dyDescent="0.3">
      <c r="A54" s="176" t="s">
        <v>349</v>
      </c>
      <c r="B54" s="176" t="s">
        <v>304</v>
      </c>
      <c r="C54" s="23" t="s">
        <v>9</v>
      </c>
      <c r="D54" s="23" t="s">
        <v>1317</v>
      </c>
      <c r="E54" s="25">
        <v>2151487375</v>
      </c>
      <c r="F54" s="188">
        <v>29369</v>
      </c>
      <c r="G54" s="23" t="s">
        <v>18</v>
      </c>
      <c r="H54" s="180">
        <v>34.297218293866123</v>
      </c>
      <c r="I54" s="188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3" x14ac:dyDescent="0.3">
      <c r="A55" s="176" t="s">
        <v>350</v>
      </c>
      <c r="B55" s="176" t="s">
        <v>351</v>
      </c>
      <c r="C55" s="23" t="s">
        <v>26</v>
      </c>
      <c r="D55" s="23" t="s">
        <v>1318</v>
      </c>
      <c r="E55" s="25">
        <v>2167405629</v>
      </c>
      <c r="F55" s="188">
        <v>29787</v>
      </c>
      <c r="G55" s="23" t="s">
        <v>6</v>
      </c>
      <c r="H55" s="180">
        <v>35.755233251633086</v>
      </c>
      <c r="I55" s="188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</row>
    <row r="56" spans="1:33" x14ac:dyDescent="0.3">
      <c r="A56" s="176" t="s">
        <v>352</v>
      </c>
      <c r="B56" s="176" t="s">
        <v>353</v>
      </c>
      <c r="C56" s="23" t="s">
        <v>23</v>
      </c>
      <c r="D56" s="23" t="s">
        <v>1319</v>
      </c>
      <c r="E56" s="25">
        <v>3012924678</v>
      </c>
      <c r="F56" s="188">
        <v>35194</v>
      </c>
      <c r="G56" s="23" t="s">
        <v>10</v>
      </c>
      <c r="H56" s="180">
        <v>36.691565841497528</v>
      </c>
      <c r="I56" s="188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</row>
    <row r="57" spans="1:33" x14ac:dyDescent="0.3">
      <c r="A57" s="176" t="s">
        <v>354</v>
      </c>
      <c r="B57" s="176" t="s">
        <v>355</v>
      </c>
      <c r="C57" s="23" t="s">
        <v>9</v>
      </c>
      <c r="D57" s="23" t="s">
        <v>1320</v>
      </c>
      <c r="E57" s="25">
        <v>2156166452</v>
      </c>
      <c r="F57" s="188">
        <v>28025</v>
      </c>
      <c r="G57" s="23" t="s">
        <v>10</v>
      </c>
      <c r="H57" s="180">
        <v>39.35924823089573</v>
      </c>
      <c r="I57" s="188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</row>
    <row r="58" spans="1:33" x14ac:dyDescent="0.3">
      <c r="A58" s="176" t="s">
        <v>356</v>
      </c>
      <c r="B58" s="176" t="s">
        <v>357</v>
      </c>
      <c r="C58" s="23" t="s">
        <v>23</v>
      </c>
      <c r="D58" s="23" t="s">
        <v>1321</v>
      </c>
      <c r="E58" s="25">
        <v>6082381391</v>
      </c>
      <c r="F58" s="188">
        <v>27920</v>
      </c>
      <c r="G58" s="23" t="s">
        <v>10</v>
      </c>
      <c r="H58" s="180">
        <v>37.335338016995273</v>
      </c>
      <c r="I58" s="18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</row>
    <row r="59" spans="1:33" x14ac:dyDescent="0.3">
      <c r="A59" s="176" t="s">
        <v>358</v>
      </c>
      <c r="B59" s="176" t="s">
        <v>359</v>
      </c>
      <c r="C59" s="23" t="s">
        <v>36</v>
      </c>
      <c r="D59" s="23" t="s">
        <v>1322</v>
      </c>
      <c r="E59" s="25">
        <v>5067474942</v>
      </c>
      <c r="F59" s="188">
        <v>28613</v>
      </c>
      <c r="G59" s="23" t="s">
        <v>10</v>
      </c>
      <c r="H59" s="180">
        <v>39.766649509082889</v>
      </c>
      <c r="I59" s="188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33" x14ac:dyDescent="0.3">
      <c r="A60" s="176" t="s">
        <v>360</v>
      </c>
      <c r="B60" s="176" t="s">
        <v>322</v>
      </c>
      <c r="C60" s="23" t="s">
        <v>25</v>
      </c>
      <c r="D60" s="23" t="s">
        <v>1323</v>
      </c>
      <c r="E60" s="25">
        <v>8125228252</v>
      </c>
      <c r="F60" s="188">
        <v>28933</v>
      </c>
      <c r="G60" s="23" t="s">
        <v>10</v>
      </c>
      <c r="H60" s="180">
        <v>37.593465752688893</v>
      </c>
      <c r="I60" s="188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33" x14ac:dyDescent="0.3">
      <c r="A61" s="176" t="s">
        <v>361</v>
      </c>
      <c r="B61" s="176" t="s">
        <v>348</v>
      </c>
      <c r="C61" s="23" t="s">
        <v>23</v>
      </c>
      <c r="D61" s="23" t="s">
        <v>1324</v>
      </c>
      <c r="E61" s="25">
        <v>3044752921</v>
      </c>
      <c r="F61" s="188">
        <v>29787</v>
      </c>
      <c r="G61" s="23" t="s">
        <v>18</v>
      </c>
      <c r="H61" s="180">
        <v>31.954799735481444</v>
      </c>
      <c r="I61" s="188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33" x14ac:dyDescent="0.3">
      <c r="A62" s="176" t="s">
        <v>362</v>
      </c>
      <c r="B62" s="176" t="s">
        <v>363</v>
      </c>
      <c r="C62" s="23" t="s">
        <v>9</v>
      </c>
      <c r="D62" s="23" t="s">
        <v>1325</v>
      </c>
      <c r="E62" s="25">
        <v>3013089561</v>
      </c>
      <c r="F62" s="188">
        <v>30496</v>
      </c>
      <c r="G62" s="23" t="s">
        <v>10</v>
      </c>
      <c r="H62" s="180">
        <v>39.421845970372651</v>
      </c>
      <c r="I62" s="188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33" x14ac:dyDescent="0.3">
      <c r="A63" s="176" t="s">
        <v>364</v>
      </c>
      <c r="B63" s="176" t="s">
        <v>365</v>
      </c>
      <c r="C63" s="23" t="s">
        <v>31</v>
      </c>
      <c r="D63" s="23" t="s">
        <v>1326</v>
      </c>
      <c r="E63" s="25">
        <v>8177288082</v>
      </c>
      <c r="F63" s="188">
        <v>34693</v>
      </c>
      <c r="G63" s="23" t="s">
        <v>6</v>
      </c>
      <c r="H63" s="180">
        <v>30.168588516485858</v>
      </c>
      <c r="I63" s="188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33" x14ac:dyDescent="0.3">
      <c r="A64" s="176" t="s">
        <v>366</v>
      </c>
      <c r="B64" s="176" t="s">
        <v>367</v>
      </c>
      <c r="C64" s="23" t="s">
        <v>23</v>
      </c>
      <c r="D64" s="23" t="s">
        <v>1327</v>
      </c>
      <c r="E64" s="25">
        <v>6044442142</v>
      </c>
      <c r="F64" s="188">
        <v>29899</v>
      </c>
      <c r="G64" s="23" t="s">
        <v>10</v>
      </c>
      <c r="H64" s="180">
        <v>39.114245704199185</v>
      </c>
      <c r="I64" s="188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1:33" x14ac:dyDescent="0.3">
      <c r="A65" s="176" t="s">
        <v>179</v>
      </c>
      <c r="B65" s="176" t="s">
        <v>368</v>
      </c>
      <c r="C65" s="23" t="s">
        <v>28</v>
      </c>
      <c r="D65" s="23" t="s">
        <v>1328</v>
      </c>
      <c r="E65" s="25">
        <v>7014589262</v>
      </c>
      <c r="F65" s="188">
        <v>33339</v>
      </c>
      <c r="G65" s="23" t="s">
        <v>10</v>
      </c>
      <c r="H65" s="180">
        <v>32.377296905443885</v>
      </c>
      <c r="I65" s="188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1:33" x14ac:dyDescent="0.3">
      <c r="A66" s="176" t="s">
        <v>369</v>
      </c>
      <c r="B66" s="176" t="s">
        <v>370</v>
      </c>
      <c r="C66" s="23" t="s">
        <v>28</v>
      </c>
      <c r="D66" s="23" t="s">
        <v>1329</v>
      </c>
      <c r="E66" s="25">
        <v>2021259179</v>
      </c>
      <c r="F66" s="188">
        <v>34836</v>
      </c>
      <c r="G66" s="23" t="s">
        <v>6</v>
      </c>
      <c r="H66" s="180">
        <v>39.215801271517257</v>
      </c>
      <c r="I66" s="188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1:33" x14ac:dyDescent="0.3">
      <c r="A67" s="176" t="s">
        <v>371</v>
      </c>
      <c r="B67" s="176" t="s">
        <v>372</v>
      </c>
      <c r="C67" s="23" t="s">
        <v>9</v>
      </c>
      <c r="D67" s="23" t="s">
        <v>1330</v>
      </c>
      <c r="E67" s="25">
        <v>3146132408</v>
      </c>
      <c r="F67" s="188">
        <v>30039</v>
      </c>
      <c r="G67" s="23" t="s">
        <v>33</v>
      </c>
      <c r="H67" s="180">
        <v>31.987508122021769</v>
      </c>
      <c r="I67" s="188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</row>
    <row r="68" spans="1:33" x14ac:dyDescent="0.3">
      <c r="A68" s="176" t="s">
        <v>373</v>
      </c>
      <c r="B68" s="176" t="s">
        <v>374</v>
      </c>
      <c r="C68" s="23" t="s">
        <v>23</v>
      </c>
      <c r="D68" s="23" t="s">
        <v>1331</v>
      </c>
      <c r="E68" s="25">
        <v>9021267946</v>
      </c>
      <c r="F68" s="188">
        <v>29379</v>
      </c>
      <c r="G68" s="23" t="s">
        <v>6</v>
      </c>
      <c r="H68" s="180">
        <v>30.105627734048607</v>
      </c>
      <c r="I68" s="18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</row>
    <row r="69" spans="1:33" x14ac:dyDescent="0.3">
      <c r="A69" s="176" t="s">
        <v>375</v>
      </c>
      <c r="B69" s="176" t="s">
        <v>376</v>
      </c>
      <c r="C69" s="23" t="s">
        <v>26</v>
      </c>
      <c r="D69" s="23" t="s">
        <v>1332</v>
      </c>
      <c r="E69" s="25">
        <v>9197528456</v>
      </c>
      <c r="F69" s="188">
        <v>35625</v>
      </c>
      <c r="G69" s="23" t="s">
        <v>10</v>
      </c>
      <c r="H69" s="180">
        <v>32.115400955269941</v>
      </c>
      <c r="I69" s="188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</row>
    <row r="70" spans="1:33" x14ac:dyDescent="0.3">
      <c r="A70" s="176" t="s">
        <v>377</v>
      </c>
      <c r="B70" s="176" t="s">
        <v>378</v>
      </c>
      <c r="C70" s="23" t="s">
        <v>34</v>
      </c>
      <c r="D70" s="23" t="s">
        <v>1333</v>
      </c>
      <c r="E70" s="25">
        <v>4061664940</v>
      </c>
      <c r="F70" s="188">
        <v>29487</v>
      </c>
      <c r="G70" s="23" t="s">
        <v>6</v>
      </c>
      <c r="H70" s="180">
        <v>34.568210634118067</v>
      </c>
      <c r="I70" s="188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</row>
    <row r="71" spans="1:33" x14ac:dyDescent="0.3">
      <c r="A71" s="176" t="s">
        <v>379</v>
      </c>
      <c r="B71" s="176" t="s">
        <v>380</v>
      </c>
      <c r="C71" s="23" t="s">
        <v>17</v>
      </c>
      <c r="D71" s="23" t="s">
        <v>1334</v>
      </c>
      <c r="E71" s="25">
        <v>7166049607</v>
      </c>
      <c r="F71" s="188">
        <v>28537</v>
      </c>
      <c r="G71" s="23" t="s">
        <v>18</v>
      </c>
      <c r="H71" s="180">
        <v>31.871371192694859</v>
      </c>
      <c r="I71" s="188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</row>
    <row r="72" spans="1:33" x14ac:dyDescent="0.3">
      <c r="A72" s="176" t="s">
        <v>381</v>
      </c>
      <c r="B72" s="176" t="s">
        <v>310</v>
      </c>
      <c r="C72" s="23" t="s">
        <v>37</v>
      </c>
      <c r="D72" s="23" t="s">
        <v>1335</v>
      </c>
      <c r="E72" s="25">
        <v>7021299076</v>
      </c>
      <c r="F72" s="188">
        <v>30367</v>
      </c>
      <c r="G72" s="23" t="s">
        <v>10</v>
      </c>
      <c r="H72" s="180">
        <v>35.699339047728394</v>
      </c>
      <c r="I72" s="188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 x14ac:dyDescent="0.3">
      <c r="A73" s="176" t="s">
        <v>382</v>
      </c>
      <c r="B73" s="176" t="s">
        <v>322</v>
      </c>
      <c r="C73" s="23" t="s">
        <v>38</v>
      </c>
      <c r="D73" s="23" t="s">
        <v>1336</v>
      </c>
      <c r="E73" s="25">
        <v>6047451745</v>
      </c>
      <c r="F73" s="188">
        <v>31933</v>
      </c>
      <c r="G73" s="23" t="s">
        <v>18</v>
      </c>
      <c r="H73" s="180">
        <v>37.80562120130076</v>
      </c>
      <c r="I73" s="188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 x14ac:dyDescent="0.3">
      <c r="A74" s="176" t="s">
        <v>383</v>
      </c>
      <c r="B74" s="176" t="s">
        <v>342</v>
      </c>
      <c r="C74" s="23" t="s">
        <v>17</v>
      </c>
      <c r="D74" s="23" t="s">
        <v>1337</v>
      </c>
      <c r="E74" s="25">
        <v>9012453666</v>
      </c>
      <c r="F74" s="188">
        <v>32417</v>
      </c>
      <c r="G74" s="23" t="s">
        <v>18</v>
      </c>
      <c r="H74" s="180">
        <v>39.163619285272297</v>
      </c>
      <c r="I74" s="188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 x14ac:dyDescent="0.3">
      <c r="A75" s="176" t="s">
        <v>384</v>
      </c>
      <c r="B75" s="176" t="s">
        <v>385</v>
      </c>
      <c r="C75" s="23" t="s">
        <v>27</v>
      </c>
      <c r="D75" s="23" t="s">
        <v>1338</v>
      </c>
      <c r="E75" s="25">
        <v>4097429525</v>
      </c>
      <c r="F75" s="188">
        <v>32648</v>
      </c>
      <c r="G75" s="23" t="s">
        <v>10</v>
      </c>
      <c r="H75" s="180">
        <v>37.16144162219797</v>
      </c>
      <c r="I75" s="188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 x14ac:dyDescent="0.3">
      <c r="A76" s="176" t="s">
        <v>386</v>
      </c>
      <c r="B76" s="176" t="s">
        <v>387</v>
      </c>
      <c r="C76" s="23" t="s">
        <v>28</v>
      </c>
      <c r="D76" s="23" t="s">
        <v>1339</v>
      </c>
      <c r="E76" s="25">
        <v>5113355152</v>
      </c>
      <c r="F76" s="188">
        <v>32663</v>
      </c>
      <c r="G76" s="23" t="s">
        <v>10</v>
      </c>
      <c r="H76" s="180">
        <v>30.941658148774362</v>
      </c>
      <c r="I76" s="188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 x14ac:dyDescent="0.3">
      <c r="A77" s="176" t="s">
        <v>388</v>
      </c>
      <c r="B77" s="176" t="s">
        <v>389</v>
      </c>
      <c r="C77" s="23" t="s">
        <v>39</v>
      </c>
      <c r="D77" s="23" t="s">
        <v>1340</v>
      </c>
      <c r="E77" s="25">
        <v>7114854867</v>
      </c>
      <c r="F77" s="188">
        <v>32789</v>
      </c>
      <c r="G77" s="23" t="s">
        <v>6</v>
      </c>
      <c r="H77" s="180">
        <v>33.24659411813748</v>
      </c>
      <c r="I77" s="188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 x14ac:dyDescent="0.3">
      <c r="A78" s="176" t="s">
        <v>390</v>
      </c>
      <c r="B78" s="176" t="s">
        <v>391</v>
      </c>
      <c r="C78" s="23" t="s">
        <v>23</v>
      </c>
      <c r="D78" s="23" t="s">
        <v>1341</v>
      </c>
      <c r="E78" s="25">
        <v>7044411859</v>
      </c>
      <c r="F78" s="188">
        <v>32694</v>
      </c>
      <c r="G78" s="23" t="s">
        <v>6</v>
      </c>
      <c r="H78" s="180">
        <v>33.964339189245329</v>
      </c>
      <c r="I78" s="18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 x14ac:dyDescent="0.3">
      <c r="A79" s="176" t="s">
        <v>392</v>
      </c>
      <c r="B79" s="176" t="s">
        <v>393</v>
      </c>
      <c r="C79" s="23" t="s">
        <v>9</v>
      </c>
      <c r="D79" s="23" t="s">
        <v>1342</v>
      </c>
      <c r="E79" s="25">
        <v>2116466230</v>
      </c>
      <c r="F79" s="188">
        <v>27859</v>
      </c>
      <c r="G79" s="23" t="s">
        <v>10</v>
      </c>
      <c r="H79" s="180">
        <v>34.429731791064306</v>
      </c>
      <c r="I79" s="188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 x14ac:dyDescent="0.3">
      <c r="A80" s="176" t="s">
        <v>394</v>
      </c>
      <c r="B80" s="176" t="s">
        <v>395</v>
      </c>
      <c r="C80" s="23" t="s">
        <v>25</v>
      </c>
      <c r="D80" s="23" t="s">
        <v>1343</v>
      </c>
      <c r="E80" s="25">
        <v>9136168483</v>
      </c>
      <c r="F80" s="188">
        <v>27858</v>
      </c>
      <c r="G80" s="23" t="s">
        <v>33</v>
      </c>
      <c r="H80" s="180">
        <v>39.806912465433186</v>
      </c>
      <c r="I80" s="188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1:33" x14ac:dyDescent="0.3">
      <c r="A81" s="176" t="s">
        <v>396</v>
      </c>
      <c r="B81" s="176" t="s">
        <v>397</v>
      </c>
      <c r="C81" s="23" t="s">
        <v>27</v>
      </c>
      <c r="D81" s="23" t="s">
        <v>1344</v>
      </c>
      <c r="E81" s="25">
        <v>3012005810</v>
      </c>
      <c r="F81" s="188">
        <v>35747</v>
      </c>
      <c r="G81" s="23" t="s">
        <v>10</v>
      </c>
      <c r="H81" s="180">
        <v>30.206037703990756</v>
      </c>
      <c r="I81" s="188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 x14ac:dyDescent="0.3">
      <c r="A82" s="176" t="s">
        <v>398</v>
      </c>
      <c r="B82" s="176" t="s">
        <v>399</v>
      </c>
      <c r="C82" s="23" t="s">
        <v>40</v>
      </c>
      <c r="D82" s="23" t="s">
        <v>1345</v>
      </c>
      <c r="E82" s="25">
        <v>4134100997</v>
      </c>
      <c r="F82" s="188">
        <v>29671</v>
      </c>
      <c r="G82" s="23" t="s">
        <v>10</v>
      </c>
      <c r="H82" s="180">
        <v>39.004135509678193</v>
      </c>
      <c r="I82" s="188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1:33" x14ac:dyDescent="0.3">
      <c r="A83" s="176" t="s">
        <v>400</v>
      </c>
      <c r="B83" s="176" t="s">
        <v>401</v>
      </c>
      <c r="C83" s="23" t="s">
        <v>23</v>
      </c>
      <c r="D83" s="23" t="s">
        <v>1346</v>
      </c>
      <c r="E83" s="25">
        <v>3135520461</v>
      </c>
      <c r="F83" s="188">
        <v>35708</v>
      </c>
      <c r="G83" s="23" t="s">
        <v>10</v>
      </c>
      <c r="H83" s="180">
        <v>37.068211550582831</v>
      </c>
      <c r="I83" s="188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1:33" x14ac:dyDescent="0.3">
      <c r="A84" s="176" t="s">
        <v>402</v>
      </c>
      <c r="B84" s="176" t="s">
        <v>403</v>
      </c>
      <c r="C84" s="23" t="s">
        <v>31</v>
      </c>
      <c r="D84" s="23" t="s">
        <v>1347</v>
      </c>
      <c r="E84" s="25">
        <v>5043373445</v>
      </c>
      <c r="F84" s="188">
        <v>28497</v>
      </c>
      <c r="G84" s="23" t="s">
        <v>10</v>
      </c>
      <c r="H84" s="180">
        <v>36.09922712054955</v>
      </c>
      <c r="I84" s="188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1:33" x14ac:dyDescent="0.3">
      <c r="A85" s="176" t="s">
        <v>404</v>
      </c>
      <c r="B85" s="176" t="s">
        <v>405</v>
      </c>
      <c r="C85" s="23" t="s">
        <v>37</v>
      </c>
      <c r="D85" s="23" t="s">
        <v>1348</v>
      </c>
      <c r="E85" s="25">
        <v>7162042331</v>
      </c>
      <c r="F85" s="188">
        <v>29369</v>
      </c>
      <c r="G85" s="23" t="s">
        <v>6</v>
      </c>
      <c r="H85" s="180">
        <v>37.750683029529348</v>
      </c>
      <c r="I85" s="188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1:33" x14ac:dyDescent="0.3">
      <c r="A86" s="176" t="s">
        <v>406</v>
      </c>
      <c r="B86" s="176" t="s">
        <v>342</v>
      </c>
      <c r="C86" s="23" t="s">
        <v>23</v>
      </c>
      <c r="D86" s="23" t="s">
        <v>1349</v>
      </c>
      <c r="E86" s="25">
        <v>6188405900</v>
      </c>
      <c r="F86" s="188">
        <v>29787</v>
      </c>
      <c r="G86" s="23" t="s">
        <v>18</v>
      </c>
      <c r="H86" s="180">
        <v>33.384364611602216</v>
      </c>
      <c r="I86" s="188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1:33" x14ac:dyDescent="0.3">
      <c r="A87" s="176" t="s">
        <v>407</v>
      </c>
      <c r="B87" s="176" t="s">
        <v>408</v>
      </c>
      <c r="C87" s="23" t="s">
        <v>31</v>
      </c>
      <c r="D87" s="23" t="s">
        <v>1350</v>
      </c>
      <c r="E87" s="25">
        <v>7148502926</v>
      </c>
      <c r="F87" s="188">
        <v>35194</v>
      </c>
      <c r="G87" s="23" t="s">
        <v>10</v>
      </c>
      <c r="H87" s="180">
        <v>34.679871462205824</v>
      </c>
      <c r="I87" s="188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</row>
    <row r="88" spans="1:33" x14ac:dyDescent="0.3">
      <c r="A88" s="176" t="s">
        <v>263</v>
      </c>
      <c r="B88" s="176" t="s">
        <v>264</v>
      </c>
      <c r="C88" s="23" t="s">
        <v>9</v>
      </c>
      <c r="D88" s="23" t="s">
        <v>1351</v>
      </c>
      <c r="E88" s="25">
        <v>7074402150</v>
      </c>
      <c r="F88" s="188">
        <v>28025</v>
      </c>
      <c r="G88" s="23" t="s">
        <v>10</v>
      </c>
      <c r="H88" s="180">
        <v>39.683877031195991</v>
      </c>
      <c r="I88" s="1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1:33" x14ac:dyDescent="0.3">
      <c r="A89" s="176" t="s">
        <v>263</v>
      </c>
      <c r="B89" s="176" t="s">
        <v>409</v>
      </c>
      <c r="C89" s="23" t="s">
        <v>27</v>
      </c>
      <c r="D89" s="23" t="s">
        <v>1352</v>
      </c>
      <c r="E89" s="25">
        <v>3042350434</v>
      </c>
      <c r="F89" s="188">
        <v>27920</v>
      </c>
      <c r="G89" s="23" t="s">
        <v>6</v>
      </c>
      <c r="H89" s="180">
        <v>32.007292727152738</v>
      </c>
      <c r="I89" s="188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</row>
    <row r="90" spans="1:33" x14ac:dyDescent="0.3">
      <c r="A90" s="176" t="s">
        <v>410</v>
      </c>
      <c r="B90" s="176" t="s">
        <v>411</v>
      </c>
      <c r="C90" s="23" t="s">
        <v>5</v>
      </c>
      <c r="D90" s="23" t="s">
        <v>1353</v>
      </c>
      <c r="E90" s="25">
        <v>8062094386</v>
      </c>
      <c r="F90" s="188">
        <v>28613</v>
      </c>
      <c r="G90" s="23" t="s">
        <v>10</v>
      </c>
      <c r="H90" s="180">
        <v>37.304139063052389</v>
      </c>
      <c r="I90" s="188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1:33" x14ac:dyDescent="0.3">
      <c r="A91" s="176" t="s">
        <v>412</v>
      </c>
      <c r="B91" s="176" t="s">
        <v>413</v>
      </c>
      <c r="C91" s="23" t="s">
        <v>23</v>
      </c>
      <c r="D91" s="23" t="s">
        <v>1354</v>
      </c>
      <c r="E91" s="25">
        <v>8085012757</v>
      </c>
      <c r="F91" s="188">
        <v>28933</v>
      </c>
      <c r="G91" s="23" t="s">
        <v>33</v>
      </c>
      <c r="H91" s="180">
        <v>39.25476759079173</v>
      </c>
      <c r="I91" s="188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</row>
    <row r="92" spans="1:33" x14ac:dyDescent="0.3">
      <c r="A92" s="176" t="s">
        <v>414</v>
      </c>
      <c r="B92" s="176" t="s">
        <v>288</v>
      </c>
      <c r="C92" s="23" t="s">
        <v>5</v>
      </c>
      <c r="D92" s="23" t="s">
        <v>1355</v>
      </c>
      <c r="E92" s="25">
        <v>6135344270</v>
      </c>
      <c r="F92" s="188">
        <v>29787</v>
      </c>
      <c r="G92" s="23" t="s">
        <v>18</v>
      </c>
      <c r="H92" s="180">
        <v>36.382379179919624</v>
      </c>
      <c r="I92" s="188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</row>
    <row r="93" spans="1:33" x14ac:dyDescent="0.3">
      <c r="A93" s="176" t="s">
        <v>415</v>
      </c>
      <c r="B93" s="176" t="s">
        <v>304</v>
      </c>
      <c r="C93" s="23" t="s">
        <v>23</v>
      </c>
      <c r="D93" s="23" t="s">
        <v>1356</v>
      </c>
      <c r="E93" s="25">
        <v>7117362525</v>
      </c>
      <c r="F93" s="188">
        <v>30496</v>
      </c>
      <c r="G93" s="23" t="s">
        <v>6</v>
      </c>
      <c r="H93" s="180">
        <v>38.096975757250874</v>
      </c>
      <c r="I93" s="188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</row>
    <row r="94" spans="1:33" x14ac:dyDescent="0.3">
      <c r="A94" s="176" t="s">
        <v>416</v>
      </c>
      <c r="B94" s="176" t="s">
        <v>417</v>
      </c>
      <c r="C94" s="23" t="s">
        <v>9</v>
      </c>
      <c r="D94" s="23" t="s">
        <v>1357</v>
      </c>
      <c r="E94" s="25">
        <v>6116213620</v>
      </c>
      <c r="F94" s="188">
        <v>34693</v>
      </c>
      <c r="G94" s="23" t="s">
        <v>6</v>
      </c>
      <c r="H94" s="180">
        <v>39.445140582457682</v>
      </c>
      <c r="I94" s="188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</row>
    <row r="95" spans="1:33" x14ac:dyDescent="0.3">
      <c r="A95" s="176" t="s">
        <v>418</v>
      </c>
      <c r="B95" s="176" t="s">
        <v>419</v>
      </c>
      <c r="C95" s="23" t="s">
        <v>25</v>
      </c>
      <c r="D95" s="23" t="s">
        <v>1358</v>
      </c>
      <c r="E95" s="25">
        <v>3042780847</v>
      </c>
      <c r="F95" s="188">
        <v>29899</v>
      </c>
      <c r="G95" s="23" t="s">
        <v>18</v>
      </c>
      <c r="H95" s="180">
        <v>30.706371329310659</v>
      </c>
      <c r="I95" s="188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</row>
    <row r="96" spans="1:33" x14ac:dyDescent="0.3">
      <c r="A96" s="176" t="s">
        <v>420</v>
      </c>
      <c r="B96" s="176" t="s">
        <v>421</v>
      </c>
      <c r="C96" s="23" t="s">
        <v>5</v>
      </c>
      <c r="D96" s="23" t="s">
        <v>1359</v>
      </c>
      <c r="E96" s="25">
        <v>8052921836</v>
      </c>
      <c r="F96" s="188">
        <v>33339</v>
      </c>
      <c r="G96" s="23" t="s">
        <v>10</v>
      </c>
      <c r="H96" s="180">
        <v>31.25270242645032</v>
      </c>
      <c r="I96" s="188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</row>
    <row r="97" spans="1:33" x14ac:dyDescent="0.3">
      <c r="A97" s="176" t="s">
        <v>422</v>
      </c>
      <c r="B97" s="176" t="s">
        <v>423</v>
      </c>
      <c r="C97" s="23" t="s">
        <v>25</v>
      </c>
      <c r="D97" s="23" t="s">
        <v>1360</v>
      </c>
      <c r="E97" s="25">
        <v>3182869792</v>
      </c>
      <c r="F97" s="188">
        <v>34836</v>
      </c>
      <c r="G97" s="23" t="s">
        <v>10</v>
      </c>
      <c r="H97" s="180">
        <v>34.636372563319405</v>
      </c>
      <c r="I97" s="188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</row>
    <row r="98" spans="1:33" x14ac:dyDescent="0.3">
      <c r="A98" s="176" t="s">
        <v>424</v>
      </c>
      <c r="B98" s="176" t="s">
        <v>353</v>
      </c>
      <c r="C98" s="23" t="s">
        <v>41</v>
      </c>
      <c r="D98" s="23" t="s">
        <v>1361</v>
      </c>
      <c r="E98" s="25">
        <v>7093482736</v>
      </c>
      <c r="F98" s="188">
        <v>30039</v>
      </c>
      <c r="G98" s="23" t="s">
        <v>6</v>
      </c>
      <c r="H98" s="180">
        <v>36.513344329452543</v>
      </c>
      <c r="I98" s="18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</row>
    <row r="99" spans="1:33" x14ac:dyDescent="0.3">
      <c r="A99" s="176" t="s">
        <v>425</v>
      </c>
      <c r="B99" s="176" t="s">
        <v>423</v>
      </c>
      <c r="C99" s="23" t="s">
        <v>17</v>
      </c>
      <c r="D99" s="23" t="s">
        <v>1362</v>
      </c>
      <c r="E99" s="25">
        <v>3156408497</v>
      </c>
      <c r="F99" s="188">
        <v>29379</v>
      </c>
      <c r="G99" s="23" t="s">
        <v>6</v>
      </c>
      <c r="H99" s="180">
        <v>30.608587139857264</v>
      </c>
      <c r="I99" s="188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</row>
    <row r="100" spans="1:33" x14ac:dyDescent="0.3">
      <c r="A100" s="176" t="s">
        <v>426</v>
      </c>
      <c r="B100" s="176" t="s">
        <v>427</v>
      </c>
      <c r="C100" s="23" t="s">
        <v>9</v>
      </c>
      <c r="D100" s="23" t="s">
        <v>1363</v>
      </c>
      <c r="E100" s="25">
        <v>6145617115</v>
      </c>
      <c r="F100" s="188">
        <v>35625</v>
      </c>
      <c r="G100" s="23" t="s">
        <v>33</v>
      </c>
      <c r="H100" s="180">
        <v>36.128077554569153</v>
      </c>
      <c r="I100" s="188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</row>
    <row r="101" spans="1:33" x14ac:dyDescent="0.3">
      <c r="A101" s="176" t="s">
        <v>428</v>
      </c>
      <c r="B101" s="176" t="s">
        <v>429</v>
      </c>
      <c r="C101" s="23" t="s">
        <v>32</v>
      </c>
      <c r="D101" s="23" t="s">
        <v>1364</v>
      </c>
      <c r="E101" s="25">
        <v>8072913490</v>
      </c>
      <c r="F101" s="188">
        <v>29487</v>
      </c>
      <c r="G101" s="23" t="s">
        <v>18</v>
      </c>
      <c r="H101" s="180">
        <v>34.89858051400973</v>
      </c>
      <c r="I101" s="188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</row>
    <row r="102" spans="1:33" x14ac:dyDescent="0.3">
      <c r="A102" s="176" t="s">
        <v>430</v>
      </c>
      <c r="B102" s="176" t="s">
        <v>431</v>
      </c>
      <c r="C102" s="23" t="s">
        <v>25</v>
      </c>
      <c r="D102" s="23" t="s">
        <v>1365</v>
      </c>
      <c r="E102" s="25">
        <v>7027508998</v>
      </c>
      <c r="F102" s="188">
        <v>28537</v>
      </c>
      <c r="G102" s="23" t="s">
        <v>10</v>
      </c>
      <c r="H102" s="180">
        <v>37.546923727924963</v>
      </c>
      <c r="I102" s="188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</row>
    <row r="103" spans="1:33" x14ac:dyDescent="0.3">
      <c r="A103" s="176" t="s">
        <v>432</v>
      </c>
      <c r="B103" s="176" t="s">
        <v>387</v>
      </c>
      <c r="C103" s="23" t="s">
        <v>29</v>
      </c>
      <c r="D103" s="23" t="s">
        <v>1366</v>
      </c>
      <c r="E103" s="25">
        <v>4161397811</v>
      </c>
      <c r="F103" s="188">
        <v>30367</v>
      </c>
      <c r="G103" s="23" t="s">
        <v>33</v>
      </c>
      <c r="H103" s="180">
        <v>38.322451817455729</v>
      </c>
      <c r="I103" s="188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</row>
    <row r="104" spans="1:33" x14ac:dyDescent="0.3">
      <c r="A104" s="176" t="s">
        <v>433</v>
      </c>
      <c r="B104" s="176" t="s">
        <v>434</v>
      </c>
      <c r="C104" s="23" t="s">
        <v>23</v>
      </c>
      <c r="D104" s="23" t="s">
        <v>1367</v>
      </c>
      <c r="E104" s="25">
        <v>4165511103</v>
      </c>
      <c r="F104" s="188">
        <v>31933</v>
      </c>
      <c r="G104" s="23" t="s">
        <v>18</v>
      </c>
      <c r="H104" s="180">
        <v>31.283109170725247</v>
      </c>
      <c r="I104" s="188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</row>
    <row r="105" spans="1:33" x14ac:dyDescent="0.3">
      <c r="A105" s="176" t="s">
        <v>435</v>
      </c>
      <c r="B105" s="176" t="s">
        <v>436</v>
      </c>
      <c r="C105" s="23" t="s">
        <v>5</v>
      </c>
      <c r="D105" s="23" t="s">
        <v>1368</v>
      </c>
      <c r="E105" s="25">
        <v>6171280865</v>
      </c>
      <c r="F105" s="188">
        <v>32417</v>
      </c>
      <c r="G105" s="23" t="s">
        <v>6</v>
      </c>
      <c r="H105" s="180">
        <v>33.380034665909101</v>
      </c>
      <c r="I105" s="188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</row>
    <row r="106" spans="1:33" x14ac:dyDescent="0.3">
      <c r="A106" s="176" t="s">
        <v>437</v>
      </c>
      <c r="B106" s="176" t="s">
        <v>438</v>
      </c>
      <c r="C106" s="23" t="s">
        <v>25</v>
      </c>
      <c r="D106" s="23" t="s">
        <v>1369</v>
      </c>
      <c r="E106" s="25">
        <v>5161620909</v>
      </c>
      <c r="F106" s="188">
        <v>32648</v>
      </c>
      <c r="G106" s="23" t="s">
        <v>10</v>
      </c>
      <c r="H106" s="180">
        <v>36.848294676069727</v>
      </c>
      <c r="I106" s="188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1:33" x14ac:dyDescent="0.3">
      <c r="A107" s="176" t="s">
        <v>439</v>
      </c>
      <c r="B107" s="176" t="s">
        <v>440</v>
      </c>
      <c r="C107" s="23" t="s">
        <v>9</v>
      </c>
      <c r="D107" s="23" t="s">
        <v>1370</v>
      </c>
      <c r="E107" s="25">
        <v>2051591006</v>
      </c>
      <c r="F107" s="188">
        <v>32663</v>
      </c>
      <c r="G107" s="23" t="s">
        <v>10</v>
      </c>
      <c r="H107" s="180">
        <v>37.842025029572795</v>
      </c>
      <c r="I107" s="188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1:33" x14ac:dyDescent="0.3">
      <c r="A108" s="176" t="s">
        <v>441</v>
      </c>
      <c r="B108" s="176" t="s">
        <v>322</v>
      </c>
      <c r="C108" s="23" t="s">
        <v>25</v>
      </c>
      <c r="D108" s="23" t="s">
        <v>1371</v>
      </c>
      <c r="E108" s="25">
        <v>2065089157</v>
      </c>
      <c r="F108" s="188">
        <v>32789</v>
      </c>
      <c r="G108" s="23" t="s">
        <v>10</v>
      </c>
      <c r="H108" s="180">
        <v>33.628213975933612</v>
      </c>
      <c r="I108" s="18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1:33" x14ac:dyDescent="0.3">
      <c r="A109" s="176" t="s">
        <v>442</v>
      </c>
      <c r="B109" s="176" t="s">
        <v>443</v>
      </c>
      <c r="C109" s="23" t="s">
        <v>23</v>
      </c>
      <c r="D109" s="23" t="s">
        <v>1372</v>
      </c>
      <c r="E109" s="25">
        <v>7015185281</v>
      </c>
      <c r="F109" s="188">
        <v>30152</v>
      </c>
      <c r="G109" s="23" t="s">
        <v>10</v>
      </c>
      <c r="H109" s="180">
        <v>36.571996019866553</v>
      </c>
      <c r="I109" s="188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1:33" x14ac:dyDescent="0.3">
      <c r="A110" s="176" t="s">
        <v>444</v>
      </c>
      <c r="B110" s="176" t="s">
        <v>445</v>
      </c>
      <c r="C110" s="23" t="s">
        <v>17</v>
      </c>
      <c r="D110" s="23" t="s">
        <v>1373</v>
      </c>
      <c r="E110" s="25">
        <v>2056969994</v>
      </c>
      <c r="F110" s="188">
        <v>33961</v>
      </c>
      <c r="G110" s="23" t="s">
        <v>6</v>
      </c>
      <c r="H110" s="180">
        <v>37.999594090473138</v>
      </c>
      <c r="I110" s="188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1:33" x14ac:dyDescent="0.3">
      <c r="A111" s="176" t="s">
        <v>446</v>
      </c>
      <c r="B111" s="176" t="s">
        <v>447</v>
      </c>
      <c r="C111" s="23" t="s">
        <v>27</v>
      </c>
      <c r="D111" s="23" t="s">
        <v>1374</v>
      </c>
      <c r="E111" s="25">
        <v>4096799516</v>
      </c>
      <c r="F111" s="188">
        <v>28848</v>
      </c>
      <c r="G111" s="23" t="s">
        <v>18</v>
      </c>
      <c r="H111" s="180">
        <v>38.02077438814036</v>
      </c>
      <c r="I111" s="188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1:33" x14ac:dyDescent="0.3">
      <c r="A112" s="176" t="s">
        <v>448</v>
      </c>
      <c r="B112" s="176" t="s">
        <v>447</v>
      </c>
      <c r="C112" s="23" t="s">
        <v>23</v>
      </c>
      <c r="D112" s="23" t="s">
        <v>1375</v>
      </c>
      <c r="E112" s="25">
        <v>5057785583</v>
      </c>
      <c r="F112" s="188">
        <v>30631</v>
      </c>
      <c r="G112" s="23" t="s">
        <v>6</v>
      </c>
      <c r="H112" s="180">
        <v>37.383124314812612</v>
      </c>
      <c r="I112" s="188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1:33" x14ac:dyDescent="0.3">
      <c r="A113" s="176" t="s">
        <v>449</v>
      </c>
      <c r="B113" s="176" t="s">
        <v>440</v>
      </c>
      <c r="C113" s="23" t="s">
        <v>5</v>
      </c>
      <c r="D113" s="23" t="s">
        <v>1376</v>
      </c>
      <c r="E113" s="25">
        <v>7087491979</v>
      </c>
      <c r="F113" s="188">
        <v>28311</v>
      </c>
      <c r="G113" s="23" t="s">
        <v>10</v>
      </c>
      <c r="H113" s="180">
        <v>39.302654176863271</v>
      </c>
      <c r="I113" s="188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1:33" x14ac:dyDescent="0.3">
      <c r="A114" s="176" t="s">
        <v>450</v>
      </c>
      <c r="B114" s="176" t="s">
        <v>451</v>
      </c>
      <c r="C114" s="23" t="s">
        <v>31</v>
      </c>
      <c r="D114" s="23" t="s">
        <v>1377</v>
      </c>
      <c r="E114" s="25">
        <v>5157461285</v>
      </c>
      <c r="F114" s="188">
        <v>29702</v>
      </c>
      <c r="G114" s="23" t="s">
        <v>10</v>
      </c>
      <c r="H114" s="180">
        <v>36.297038144947024</v>
      </c>
      <c r="I114" s="188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1:33" x14ac:dyDescent="0.3">
      <c r="A115" s="176" t="s">
        <v>452</v>
      </c>
      <c r="B115" s="176" t="s">
        <v>447</v>
      </c>
      <c r="C115" s="23" t="s">
        <v>9</v>
      </c>
      <c r="D115" s="23" t="s">
        <v>1378</v>
      </c>
      <c r="E115" s="25">
        <v>5195770085</v>
      </c>
      <c r="F115" s="188">
        <v>32694</v>
      </c>
      <c r="G115" s="23" t="s">
        <v>10</v>
      </c>
      <c r="H115" s="180">
        <v>35.842669061459588</v>
      </c>
      <c r="I115" s="188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1:33" x14ac:dyDescent="0.3">
      <c r="A116" s="176" t="s">
        <v>220</v>
      </c>
      <c r="B116" s="176" t="s">
        <v>221</v>
      </c>
      <c r="C116" s="23" t="s">
        <v>24</v>
      </c>
      <c r="D116" s="23" t="s">
        <v>1379</v>
      </c>
      <c r="E116" s="25">
        <v>9015057530</v>
      </c>
      <c r="F116" s="188">
        <v>27859</v>
      </c>
      <c r="G116" s="23" t="s">
        <v>6</v>
      </c>
      <c r="H116" s="180">
        <v>39.188271607685863</v>
      </c>
      <c r="I116" s="188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1:33" x14ac:dyDescent="0.3">
      <c r="A117" s="176" t="s">
        <v>220</v>
      </c>
      <c r="B117" s="176" t="s">
        <v>453</v>
      </c>
      <c r="C117" s="23" t="s">
        <v>31</v>
      </c>
      <c r="D117" s="23" t="s">
        <v>1380</v>
      </c>
      <c r="E117" s="25">
        <v>9064989537</v>
      </c>
      <c r="F117" s="188">
        <v>27858</v>
      </c>
      <c r="G117" s="23" t="s">
        <v>10</v>
      </c>
      <c r="H117" s="180">
        <v>38.102139057991401</v>
      </c>
      <c r="I117" s="188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1:33" x14ac:dyDescent="0.3">
      <c r="A118" s="176" t="s">
        <v>454</v>
      </c>
      <c r="B118" s="176" t="s">
        <v>306</v>
      </c>
      <c r="C118" s="23" t="s">
        <v>23</v>
      </c>
      <c r="D118" s="23" t="s">
        <v>1381</v>
      </c>
      <c r="E118" s="25">
        <v>2071653055</v>
      </c>
      <c r="F118" s="188">
        <v>35747</v>
      </c>
      <c r="G118" s="23" t="s">
        <v>33</v>
      </c>
      <c r="H118" s="180">
        <v>36.694068314272364</v>
      </c>
      <c r="I118" s="18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1:33" x14ac:dyDescent="0.3">
      <c r="A119" s="176" t="s">
        <v>455</v>
      </c>
      <c r="B119" s="176" t="s">
        <v>456</v>
      </c>
      <c r="C119" s="23" t="s">
        <v>17</v>
      </c>
      <c r="D119" s="23" t="s">
        <v>1382</v>
      </c>
      <c r="E119" s="25">
        <v>5042822520</v>
      </c>
      <c r="F119" s="188">
        <v>29671</v>
      </c>
      <c r="G119" s="23" t="s">
        <v>10</v>
      </c>
      <c r="H119" s="180">
        <v>32.771150802405209</v>
      </c>
      <c r="I119" s="188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1:33" x14ac:dyDescent="0.3">
      <c r="A120" s="176" t="s">
        <v>259</v>
      </c>
      <c r="B120" s="176" t="s">
        <v>260</v>
      </c>
      <c r="C120" s="23" t="s">
        <v>23</v>
      </c>
      <c r="D120" s="23" t="s">
        <v>1383</v>
      </c>
      <c r="E120" s="25">
        <v>8014272773</v>
      </c>
      <c r="F120" s="188">
        <v>35708</v>
      </c>
      <c r="G120" s="23" t="s">
        <v>18</v>
      </c>
      <c r="H120" s="180">
        <v>36.481169251491899</v>
      </c>
      <c r="I120" s="188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1:33" x14ac:dyDescent="0.3">
      <c r="A121" s="176" t="s">
        <v>259</v>
      </c>
      <c r="B121" s="176" t="s">
        <v>262</v>
      </c>
      <c r="C121" s="23" t="s">
        <v>9</v>
      </c>
      <c r="D121" s="23" t="s">
        <v>1384</v>
      </c>
      <c r="E121" s="25">
        <v>3164078104</v>
      </c>
      <c r="F121" s="188">
        <v>28497</v>
      </c>
      <c r="G121" s="23" t="s">
        <v>6</v>
      </c>
      <c r="H121" s="180">
        <v>39.627567646439971</v>
      </c>
      <c r="I121" s="188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1:33" x14ac:dyDescent="0.3">
      <c r="A122" s="176" t="s">
        <v>457</v>
      </c>
      <c r="B122" s="176" t="s">
        <v>380</v>
      </c>
      <c r="C122" s="23" t="s">
        <v>27</v>
      </c>
      <c r="D122" s="23" t="s">
        <v>1385</v>
      </c>
      <c r="E122" s="25">
        <v>6067280453</v>
      </c>
      <c r="F122" s="188">
        <v>29369</v>
      </c>
      <c r="G122" s="23" t="s">
        <v>10</v>
      </c>
      <c r="H122" s="180">
        <v>36.514611249130013</v>
      </c>
      <c r="I122" s="188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1:33" x14ac:dyDescent="0.3">
      <c r="A123" s="176" t="s">
        <v>458</v>
      </c>
      <c r="B123" s="176" t="s">
        <v>459</v>
      </c>
      <c r="C123" s="23" t="s">
        <v>9</v>
      </c>
      <c r="D123" s="23" t="s">
        <v>1386</v>
      </c>
      <c r="E123" s="25">
        <v>3028413271</v>
      </c>
      <c r="F123" s="188">
        <v>29787</v>
      </c>
      <c r="G123" s="23" t="s">
        <v>18</v>
      </c>
      <c r="H123" s="180">
        <v>31.61255372729989</v>
      </c>
      <c r="I123" s="188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1:33" x14ac:dyDescent="0.3">
      <c r="A124" s="176" t="s">
        <v>460</v>
      </c>
      <c r="B124" s="176" t="s">
        <v>391</v>
      </c>
      <c r="C124" s="23" t="s">
        <v>25</v>
      </c>
      <c r="D124" s="23" t="s">
        <v>1387</v>
      </c>
      <c r="E124" s="25">
        <v>2156224056</v>
      </c>
      <c r="F124" s="188">
        <v>35194</v>
      </c>
      <c r="G124" s="23" t="s">
        <v>10</v>
      </c>
      <c r="H124" s="180">
        <v>37.813427643453892</v>
      </c>
      <c r="I124" s="188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1:33" x14ac:dyDescent="0.3">
      <c r="A125" s="176" t="s">
        <v>222</v>
      </c>
      <c r="B125" s="176" t="s">
        <v>223</v>
      </c>
      <c r="C125" s="23" t="s">
        <v>17</v>
      </c>
      <c r="D125" s="23" t="s">
        <v>1388</v>
      </c>
      <c r="E125" s="25">
        <v>3081282202</v>
      </c>
      <c r="F125" s="188">
        <v>28025</v>
      </c>
      <c r="G125" s="23" t="s">
        <v>18</v>
      </c>
      <c r="H125" s="180">
        <v>34.339904581156119</v>
      </c>
      <c r="I125" s="188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1:33" x14ac:dyDescent="0.3">
      <c r="A126" s="176" t="s">
        <v>461</v>
      </c>
      <c r="B126" s="176" t="s">
        <v>462</v>
      </c>
      <c r="C126" s="23" t="s">
        <v>25</v>
      </c>
      <c r="D126" s="23" t="s">
        <v>1389</v>
      </c>
      <c r="E126" s="25">
        <v>8064697218</v>
      </c>
      <c r="F126" s="188">
        <v>27920</v>
      </c>
      <c r="G126" s="23" t="s">
        <v>6</v>
      </c>
      <c r="H126" s="180">
        <v>37.426272709875271</v>
      </c>
      <c r="I126" s="188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1:33" x14ac:dyDescent="0.3">
      <c r="A127" s="176" t="s">
        <v>463</v>
      </c>
      <c r="B127" s="176" t="s">
        <v>464</v>
      </c>
      <c r="C127" s="23" t="s">
        <v>9</v>
      </c>
      <c r="D127" s="23" t="s">
        <v>1390</v>
      </c>
      <c r="E127" s="25">
        <v>3063876146</v>
      </c>
      <c r="F127" s="188">
        <v>28613</v>
      </c>
      <c r="G127" s="23" t="s">
        <v>10</v>
      </c>
      <c r="H127" s="180">
        <v>35.287147259607195</v>
      </c>
      <c r="I127" s="188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1:33" x14ac:dyDescent="0.3">
      <c r="A128" s="176" t="s">
        <v>465</v>
      </c>
      <c r="B128" s="176" t="s">
        <v>466</v>
      </c>
      <c r="C128" s="23" t="s">
        <v>23</v>
      </c>
      <c r="D128" s="23" t="s">
        <v>1391</v>
      </c>
      <c r="E128" s="25">
        <v>3017312659</v>
      </c>
      <c r="F128" s="188">
        <v>28933</v>
      </c>
      <c r="G128" s="23" t="s">
        <v>10</v>
      </c>
      <c r="H128" s="180">
        <v>33.033097423009359</v>
      </c>
      <c r="I128" s="18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1:33" x14ac:dyDescent="0.3">
      <c r="A129" s="176" t="s">
        <v>467</v>
      </c>
      <c r="B129" s="176" t="s">
        <v>468</v>
      </c>
      <c r="C129" s="23" t="s">
        <v>31</v>
      </c>
      <c r="D129" s="23" t="s">
        <v>1392</v>
      </c>
      <c r="E129" s="25">
        <v>9061535362</v>
      </c>
      <c r="F129" s="188">
        <v>29787</v>
      </c>
      <c r="G129" s="23" t="s">
        <v>10</v>
      </c>
      <c r="H129" s="180">
        <v>35.783398334981264</v>
      </c>
      <c r="I129" s="188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1:33" x14ac:dyDescent="0.3">
      <c r="A130" s="176" t="s">
        <v>469</v>
      </c>
      <c r="B130" s="176" t="s">
        <v>470</v>
      </c>
      <c r="C130" s="23" t="s">
        <v>29</v>
      </c>
      <c r="D130" s="23" t="s">
        <v>1393</v>
      </c>
      <c r="E130" s="25">
        <v>4087577867</v>
      </c>
      <c r="F130" s="188">
        <v>30496</v>
      </c>
      <c r="G130" s="23" t="s">
        <v>10</v>
      </c>
      <c r="H130" s="180">
        <v>31.550271621240562</v>
      </c>
      <c r="I130" s="188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1:33" x14ac:dyDescent="0.3">
      <c r="A131" s="176" t="s">
        <v>471</v>
      </c>
      <c r="B131" s="176" t="s">
        <v>472</v>
      </c>
      <c r="C131" s="23" t="s">
        <v>9</v>
      </c>
      <c r="D131" s="23" t="s">
        <v>1394</v>
      </c>
      <c r="E131" s="25">
        <v>2126126835</v>
      </c>
      <c r="F131" s="188">
        <v>34693</v>
      </c>
      <c r="G131" s="23" t="s">
        <v>6</v>
      </c>
      <c r="H131" s="180">
        <v>30.918077892890555</v>
      </c>
      <c r="I131" s="188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1:33" x14ac:dyDescent="0.3">
      <c r="A132" s="176" t="s">
        <v>473</v>
      </c>
      <c r="B132" s="176" t="s">
        <v>395</v>
      </c>
      <c r="C132" s="23" t="s">
        <v>35</v>
      </c>
      <c r="D132" s="23" t="s">
        <v>1395</v>
      </c>
      <c r="E132" s="25">
        <v>9165512521</v>
      </c>
      <c r="F132" s="188">
        <v>29899</v>
      </c>
      <c r="G132" s="23" t="s">
        <v>10</v>
      </c>
      <c r="H132" s="180">
        <v>35.430221484681937</v>
      </c>
      <c r="I132" s="188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1:33" x14ac:dyDescent="0.3">
      <c r="A133" s="176" t="s">
        <v>474</v>
      </c>
      <c r="B133" s="176" t="s">
        <v>475</v>
      </c>
      <c r="C133" s="23" t="s">
        <v>9</v>
      </c>
      <c r="D133" s="23" t="s">
        <v>1396</v>
      </c>
      <c r="E133" s="25">
        <v>9117077326</v>
      </c>
      <c r="F133" s="188">
        <v>33339</v>
      </c>
      <c r="G133" s="23" t="s">
        <v>33</v>
      </c>
      <c r="H133" s="180">
        <v>35.793636758821371</v>
      </c>
      <c r="I133" s="188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1:33" x14ac:dyDescent="0.3">
      <c r="A134" s="176" t="s">
        <v>476</v>
      </c>
      <c r="B134" s="176" t="s">
        <v>288</v>
      </c>
      <c r="C134" s="23" t="s">
        <v>36</v>
      </c>
      <c r="D134" s="23" t="s">
        <v>1397</v>
      </c>
      <c r="E134" s="25">
        <v>2075508095</v>
      </c>
      <c r="F134" s="188">
        <v>34836</v>
      </c>
      <c r="G134" s="23" t="s">
        <v>10</v>
      </c>
      <c r="H134" s="180">
        <v>32.841480747201821</v>
      </c>
      <c r="I134" s="188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1:33" x14ac:dyDescent="0.3">
      <c r="A135" s="176" t="s">
        <v>477</v>
      </c>
      <c r="B135" s="176" t="s">
        <v>417</v>
      </c>
      <c r="C135" s="23" t="s">
        <v>23</v>
      </c>
      <c r="D135" s="23" t="s">
        <v>1398</v>
      </c>
      <c r="E135" s="25">
        <v>2174075460</v>
      </c>
      <c r="F135" s="188">
        <v>30039</v>
      </c>
      <c r="G135" s="23" t="s">
        <v>10</v>
      </c>
      <c r="H135" s="180">
        <v>39.284780522682382</v>
      </c>
      <c r="I135" s="188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1:33" x14ac:dyDescent="0.3">
      <c r="A136" s="176" t="s">
        <v>478</v>
      </c>
      <c r="B136" s="176" t="s">
        <v>479</v>
      </c>
      <c r="C136" s="23" t="s">
        <v>28</v>
      </c>
      <c r="D136" s="23" t="s">
        <v>1399</v>
      </c>
      <c r="E136" s="25">
        <v>2066971022</v>
      </c>
      <c r="F136" s="188">
        <v>29379</v>
      </c>
      <c r="G136" s="23" t="s">
        <v>10</v>
      </c>
      <c r="H136" s="180">
        <v>32.673566230167246</v>
      </c>
      <c r="I136" s="188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1:33" x14ac:dyDescent="0.3">
      <c r="A137" s="176" t="s">
        <v>480</v>
      </c>
      <c r="B137" s="176" t="s">
        <v>481</v>
      </c>
      <c r="C137" s="23" t="s">
        <v>9</v>
      </c>
      <c r="D137" s="23" t="s">
        <v>1400</v>
      </c>
      <c r="E137" s="25">
        <v>7068801464</v>
      </c>
      <c r="F137" s="188">
        <v>35625</v>
      </c>
      <c r="G137" s="23" t="s">
        <v>6</v>
      </c>
      <c r="H137" s="180">
        <v>38.056331005757187</v>
      </c>
      <c r="I137" s="188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1:33" x14ac:dyDescent="0.3">
      <c r="A138" s="176" t="s">
        <v>482</v>
      </c>
      <c r="B138" s="176" t="s">
        <v>285</v>
      </c>
      <c r="C138" s="23" t="s">
        <v>9</v>
      </c>
      <c r="D138" s="23" t="s">
        <v>1401</v>
      </c>
      <c r="E138" s="25">
        <v>2086201509</v>
      </c>
      <c r="F138" s="188">
        <v>29487</v>
      </c>
      <c r="G138" s="23" t="s">
        <v>18</v>
      </c>
      <c r="H138" s="180">
        <v>34.39825191522624</v>
      </c>
      <c r="I138" s="18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1:33" x14ac:dyDescent="0.3">
      <c r="A139" s="176" t="s">
        <v>483</v>
      </c>
      <c r="B139" s="176" t="s">
        <v>484</v>
      </c>
      <c r="C139" s="23" t="s">
        <v>5</v>
      </c>
      <c r="D139" s="23" t="s">
        <v>1402</v>
      </c>
      <c r="E139" s="25">
        <v>3186514650</v>
      </c>
      <c r="F139" s="188">
        <v>28537</v>
      </c>
      <c r="G139" s="23" t="s">
        <v>10</v>
      </c>
      <c r="H139" s="180">
        <v>35.439897594822277</v>
      </c>
      <c r="I139" s="188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1:33" x14ac:dyDescent="0.3">
      <c r="A140" s="176" t="s">
        <v>485</v>
      </c>
      <c r="B140" s="176" t="s">
        <v>486</v>
      </c>
      <c r="C140" s="23" t="s">
        <v>9</v>
      </c>
      <c r="D140" s="23" t="s">
        <v>1403</v>
      </c>
      <c r="E140" s="25">
        <v>7083575849</v>
      </c>
      <c r="F140" s="188">
        <v>30367</v>
      </c>
      <c r="G140" s="23" t="s">
        <v>10</v>
      </c>
      <c r="H140" s="180">
        <v>39.644302900586759</v>
      </c>
      <c r="I140" s="188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1:33" x14ac:dyDescent="0.3">
      <c r="A141" s="176" t="s">
        <v>487</v>
      </c>
      <c r="B141" s="176" t="s">
        <v>488</v>
      </c>
      <c r="C141" s="23" t="s">
        <v>31</v>
      </c>
      <c r="D141" s="23" t="s">
        <v>1404</v>
      </c>
      <c r="E141" s="25">
        <v>8015230846</v>
      </c>
      <c r="F141" s="188">
        <v>31933</v>
      </c>
      <c r="G141" s="23" t="s">
        <v>6</v>
      </c>
      <c r="H141" s="180">
        <v>32.155987498516133</v>
      </c>
      <c r="I141" s="188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1:33" x14ac:dyDescent="0.3">
      <c r="A142" s="176" t="s">
        <v>489</v>
      </c>
      <c r="B142" s="176" t="s">
        <v>490</v>
      </c>
      <c r="C142" s="23" t="s">
        <v>23</v>
      </c>
      <c r="D142" s="23" t="s">
        <v>1405</v>
      </c>
      <c r="E142" s="25">
        <v>4087049910</v>
      </c>
      <c r="F142" s="188">
        <v>32417</v>
      </c>
      <c r="G142" s="23" t="s">
        <v>10</v>
      </c>
      <c r="H142" s="180">
        <v>30.338479397929703</v>
      </c>
      <c r="I142" s="188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1:33" x14ac:dyDescent="0.3">
      <c r="A143" s="176" t="s">
        <v>491</v>
      </c>
      <c r="B143" s="176" t="s">
        <v>285</v>
      </c>
      <c r="C143" s="23" t="s">
        <v>9</v>
      </c>
      <c r="D143" s="23" t="s">
        <v>1406</v>
      </c>
      <c r="E143" s="25">
        <v>7152749909</v>
      </c>
      <c r="F143" s="188">
        <v>32648</v>
      </c>
      <c r="G143" s="23" t="s">
        <v>10</v>
      </c>
      <c r="H143" s="180">
        <v>38.174977648949508</v>
      </c>
      <c r="I143" s="188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1:33" x14ac:dyDescent="0.3">
      <c r="A144" s="176" t="s">
        <v>492</v>
      </c>
      <c r="B144" s="176" t="s">
        <v>493</v>
      </c>
      <c r="C144" s="23" t="s">
        <v>17</v>
      </c>
      <c r="D144" s="23" t="s">
        <v>1407</v>
      </c>
      <c r="E144" s="25">
        <v>3153386758</v>
      </c>
      <c r="F144" s="188">
        <v>32663</v>
      </c>
      <c r="G144" s="23" t="s">
        <v>33</v>
      </c>
      <c r="H144" s="180">
        <v>35.150179140550073</v>
      </c>
      <c r="I144" s="188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1:33" x14ac:dyDescent="0.3">
      <c r="A145" s="176" t="s">
        <v>494</v>
      </c>
      <c r="B145" s="176" t="s">
        <v>342</v>
      </c>
      <c r="C145" s="23" t="s">
        <v>25</v>
      </c>
      <c r="D145" s="23" t="s">
        <v>1408</v>
      </c>
      <c r="E145" s="25">
        <v>9024125146</v>
      </c>
      <c r="F145" s="188">
        <v>32789</v>
      </c>
      <c r="G145" s="23" t="s">
        <v>6</v>
      </c>
      <c r="H145" s="180">
        <v>32.627791555394268</v>
      </c>
      <c r="I145" s="188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1:33" x14ac:dyDescent="0.3">
      <c r="A146" s="176" t="s">
        <v>241</v>
      </c>
      <c r="B146" s="176" t="s">
        <v>242</v>
      </c>
      <c r="C146" s="23" t="s">
        <v>5</v>
      </c>
      <c r="D146" s="23" t="s">
        <v>1409</v>
      </c>
      <c r="E146" s="25">
        <v>6194897618</v>
      </c>
      <c r="F146" s="188">
        <v>30152</v>
      </c>
      <c r="G146" s="23" t="s">
        <v>10</v>
      </c>
      <c r="H146" s="180">
        <v>33.270703639546618</v>
      </c>
      <c r="I146" s="188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1:33" x14ac:dyDescent="0.3">
      <c r="A147" s="176" t="s">
        <v>495</v>
      </c>
      <c r="B147" s="176" t="s">
        <v>285</v>
      </c>
      <c r="C147" s="23" t="s">
        <v>17</v>
      </c>
      <c r="D147" s="23" t="s">
        <v>1410</v>
      </c>
      <c r="E147" s="25">
        <v>4017102355</v>
      </c>
      <c r="F147" s="188">
        <v>33961</v>
      </c>
      <c r="G147" s="23" t="s">
        <v>10</v>
      </c>
      <c r="H147" s="180">
        <v>37.348759557326751</v>
      </c>
      <c r="I147" s="188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1:33" x14ac:dyDescent="0.3">
      <c r="A148" s="176" t="s">
        <v>496</v>
      </c>
      <c r="B148" s="176" t="s">
        <v>497</v>
      </c>
      <c r="C148" s="23" t="s">
        <v>30</v>
      </c>
      <c r="D148" s="23" t="s">
        <v>1291</v>
      </c>
      <c r="E148" s="25">
        <v>6158527032</v>
      </c>
      <c r="F148" s="188">
        <v>28848</v>
      </c>
      <c r="G148" s="23" t="s">
        <v>33</v>
      </c>
      <c r="H148" s="180">
        <v>38.729371941907495</v>
      </c>
      <c r="I148" s="18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1:33" x14ac:dyDescent="0.3">
      <c r="A149" s="176" t="s">
        <v>498</v>
      </c>
      <c r="B149" s="176" t="s">
        <v>499</v>
      </c>
      <c r="C149" s="23" t="s">
        <v>31</v>
      </c>
      <c r="D149" s="23" t="s">
        <v>1406</v>
      </c>
      <c r="E149" s="25">
        <v>3157430732</v>
      </c>
      <c r="F149" s="188">
        <v>30631</v>
      </c>
      <c r="G149" s="23" t="s">
        <v>6</v>
      </c>
      <c r="H149" s="180">
        <v>34.655743382594125</v>
      </c>
      <c r="I149" s="188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1:33" x14ac:dyDescent="0.3">
      <c r="A150" s="176" t="s">
        <v>188</v>
      </c>
      <c r="B150" s="176" t="s">
        <v>500</v>
      </c>
      <c r="C150" s="23" t="s">
        <v>42</v>
      </c>
      <c r="D150" s="23" t="s">
        <v>1411</v>
      </c>
      <c r="E150" s="25">
        <v>3026109756</v>
      </c>
      <c r="F150" s="188">
        <v>28311</v>
      </c>
      <c r="G150" s="23" t="s">
        <v>6</v>
      </c>
      <c r="H150" s="180">
        <v>38.338842215023334</v>
      </c>
      <c r="I150" s="188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1:33" x14ac:dyDescent="0.3">
      <c r="A151" s="176" t="s">
        <v>501</v>
      </c>
      <c r="B151" s="176" t="s">
        <v>502</v>
      </c>
      <c r="C151" s="23" t="s">
        <v>42</v>
      </c>
      <c r="D151" s="23" t="s">
        <v>1412</v>
      </c>
      <c r="E151" s="25">
        <v>7052168237</v>
      </c>
      <c r="F151" s="188">
        <v>29702</v>
      </c>
      <c r="G151" s="23" t="s">
        <v>10</v>
      </c>
      <c r="H151" s="180">
        <v>31.311601921558811</v>
      </c>
      <c r="I151" s="188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1:33" x14ac:dyDescent="0.3">
      <c r="A152" s="176" t="s">
        <v>503</v>
      </c>
      <c r="B152" s="176" t="s">
        <v>504</v>
      </c>
      <c r="C152" s="23" t="s">
        <v>25</v>
      </c>
      <c r="D152" s="23" t="s">
        <v>1413</v>
      </c>
      <c r="E152" s="25">
        <v>6041240785</v>
      </c>
      <c r="F152" s="188">
        <v>32694</v>
      </c>
      <c r="G152" s="23" t="s">
        <v>10</v>
      </c>
      <c r="H152" s="180">
        <v>37.328026915222623</v>
      </c>
      <c r="I152" s="188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1:33" x14ac:dyDescent="0.3">
      <c r="A153" s="176" t="s">
        <v>505</v>
      </c>
      <c r="B153" s="176" t="s">
        <v>506</v>
      </c>
      <c r="C153" s="23" t="s">
        <v>5</v>
      </c>
      <c r="D153" s="23" t="s">
        <v>1414</v>
      </c>
      <c r="E153" s="25">
        <v>8145691314</v>
      </c>
      <c r="F153" s="188">
        <v>27859</v>
      </c>
      <c r="G153" s="23" t="s">
        <v>18</v>
      </c>
      <c r="H153" s="180">
        <v>36.404389435872119</v>
      </c>
      <c r="I153" s="188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1:33" x14ac:dyDescent="0.3">
      <c r="A154" s="176" t="s">
        <v>507</v>
      </c>
      <c r="B154" s="176" t="s">
        <v>499</v>
      </c>
      <c r="C154" s="23" t="s">
        <v>25</v>
      </c>
      <c r="D154" s="23" t="s">
        <v>1415</v>
      </c>
      <c r="E154" s="25">
        <v>5137819805</v>
      </c>
      <c r="F154" s="188">
        <v>27858</v>
      </c>
      <c r="G154" s="23" t="s">
        <v>10</v>
      </c>
      <c r="H154" s="180">
        <v>30.547616529607279</v>
      </c>
      <c r="I154" s="188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1:33" x14ac:dyDescent="0.3">
      <c r="A155" s="176" t="s">
        <v>508</v>
      </c>
      <c r="B155" s="176" t="s">
        <v>509</v>
      </c>
      <c r="C155" s="23" t="s">
        <v>31</v>
      </c>
      <c r="D155" s="23" t="s">
        <v>1310</v>
      </c>
      <c r="E155" s="25">
        <v>4128651774</v>
      </c>
      <c r="F155" s="188">
        <v>35747</v>
      </c>
      <c r="G155" s="23" t="s">
        <v>6</v>
      </c>
      <c r="H155" s="180">
        <v>35.353248020779006</v>
      </c>
      <c r="I155" s="188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1:33" x14ac:dyDescent="0.3">
      <c r="A156" s="176" t="s">
        <v>510</v>
      </c>
      <c r="B156" s="176" t="s">
        <v>288</v>
      </c>
      <c r="C156" s="23" t="s">
        <v>9</v>
      </c>
      <c r="D156" s="23" t="s">
        <v>1416</v>
      </c>
      <c r="E156" s="25">
        <v>7063858464</v>
      </c>
      <c r="F156" s="188">
        <v>29671</v>
      </c>
      <c r="G156" s="23" t="s">
        <v>10</v>
      </c>
      <c r="H156" s="180">
        <v>30.353746765070202</v>
      </c>
      <c r="I156" s="188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1:33" x14ac:dyDescent="0.3">
      <c r="A157" s="176" t="s">
        <v>511</v>
      </c>
      <c r="B157" s="176" t="s">
        <v>512</v>
      </c>
      <c r="C157" s="23" t="s">
        <v>25</v>
      </c>
      <c r="D157" s="23" t="s">
        <v>1417</v>
      </c>
      <c r="E157" s="25">
        <v>3025255121</v>
      </c>
      <c r="F157" s="188">
        <v>35708</v>
      </c>
      <c r="G157" s="23" t="s">
        <v>10</v>
      </c>
      <c r="H157" s="180">
        <v>37.982825112758142</v>
      </c>
      <c r="I157" s="188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1:33" x14ac:dyDescent="0.3">
      <c r="A158" s="176" t="s">
        <v>513</v>
      </c>
      <c r="B158" s="176" t="s">
        <v>514</v>
      </c>
      <c r="C158" s="23" t="s">
        <v>17</v>
      </c>
      <c r="D158" s="23" t="s">
        <v>1418</v>
      </c>
      <c r="E158" s="25">
        <v>6122064219</v>
      </c>
      <c r="F158" s="188">
        <v>28497</v>
      </c>
      <c r="G158" s="23" t="s">
        <v>6</v>
      </c>
      <c r="H158" s="180">
        <v>39.568229686736771</v>
      </c>
      <c r="I158" s="18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1:33" x14ac:dyDescent="0.3">
      <c r="A159" s="176" t="s">
        <v>515</v>
      </c>
      <c r="B159" s="176" t="s">
        <v>516</v>
      </c>
      <c r="C159" s="23" t="s">
        <v>27</v>
      </c>
      <c r="D159" s="23" t="s">
        <v>1419</v>
      </c>
      <c r="E159" s="25">
        <v>7152375580</v>
      </c>
      <c r="F159" s="188">
        <v>29369</v>
      </c>
      <c r="G159" s="23" t="s">
        <v>10</v>
      </c>
      <c r="H159" s="180">
        <v>38.342585024913397</v>
      </c>
      <c r="I159" s="188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1:33" x14ac:dyDescent="0.3">
      <c r="A160" s="176" t="s">
        <v>517</v>
      </c>
      <c r="B160" s="176" t="s">
        <v>399</v>
      </c>
      <c r="C160" s="23" t="s">
        <v>17</v>
      </c>
      <c r="D160" s="23" t="s">
        <v>1420</v>
      </c>
      <c r="E160" s="25">
        <v>7014998145</v>
      </c>
      <c r="F160" s="188">
        <v>29787</v>
      </c>
      <c r="G160" s="23" t="s">
        <v>6</v>
      </c>
      <c r="H160" s="180">
        <v>37.263356139710559</v>
      </c>
      <c r="I160" s="188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:33" x14ac:dyDescent="0.3">
      <c r="A161" s="176" t="s">
        <v>518</v>
      </c>
      <c r="B161" s="176" t="s">
        <v>519</v>
      </c>
      <c r="C161" s="23" t="s">
        <v>9</v>
      </c>
      <c r="D161" s="23" t="s">
        <v>1421</v>
      </c>
      <c r="E161" s="25">
        <v>9073517837</v>
      </c>
      <c r="F161" s="188">
        <v>35194</v>
      </c>
      <c r="G161" s="23" t="s">
        <v>10</v>
      </c>
      <c r="H161" s="180">
        <v>31.572530796798027</v>
      </c>
      <c r="I161" s="188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:33" x14ac:dyDescent="0.3">
      <c r="A162" s="176" t="s">
        <v>520</v>
      </c>
      <c r="B162" s="176" t="s">
        <v>521</v>
      </c>
      <c r="C162" s="23" t="s">
        <v>40</v>
      </c>
      <c r="D162" s="23" t="s">
        <v>1422</v>
      </c>
      <c r="E162" s="25">
        <v>2054680033</v>
      </c>
      <c r="F162" s="188">
        <v>28025</v>
      </c>
      <c r="G162" s="23" t="s">
        <v>6</v>
      </c>
      <c r="H162" s="180">
        <v>33.196778191947146</v>
      </c>
      <c r="I162" s="188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:33" x14ac:dyDescent="0.3">
      <c r="A163" s="176" t="s">
        <v>522</v>
      </c>
      <c r="B163" s="176" t="s">
        <v>285</v>
      </c>
      <c r="C163" s="23" t="s">
        <v>9</v>
      </c>
      <c r="D163" s="23" t="s">
        <v>1423</v>
      </c>
      <c r="E163" s="25">
        <v>8046479087</v>
      </c>
      <c r="F163" s="188">
        <v>27920</v>
      </c>
      <c r="G163" s="23" t="s">
        <v>10</v>
      </c>
      <c r="H163" s="180">
        <v>39.387861402628104</v>
      </c>
      <c r="I163" s="188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:33" x14ac:dyDescent="0.3">
      <c r="A164" s="176" t="s">
        <v>523</v>
      </c>
      <c r="B164" s="176" t="s">
        <v>524</v>
      </c>
      <c r="C164" s="23" t="s">
        <v>9</v>
      </c>
      <c r="D164" s="23" t="s">
        <v>1424</v>
      </c>
      <c r="E164" s="25">
        <v>6064734960</v>
      </c>
      <c r="F164" s="188">
        <v>28613</v>
      </c>
      <c r="G164" s="23" t="s">
        <v>10</v>
      </c>
      <c r="H164" s="180">
        <v>34.230133672669965</v>
      </c>
      <c r="I164" s="188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:33" x14ac:dyDescent="0.3">
      <c r="A165" s="176" t="s">
        <v>525</v>
      </c>
      <c r="B165" s="176" t="s">
        <v>526</v>
      </c>
      <c r="C165" s="23" t="s">
        <v>9</v>
      </c>
      <c r="D165" s="23" t="s">
        <v>1425</v>
      </c>
      <c r="E165" s="25">
        <v>9141711684</v>
      </c>
      <c r="F165" s="188">
        <v>28933</v>
      </c>
      <c r="G165" s="23" t="s">
        <v>10</v>
      </c>
      <c r="H165" s="180">
        <v>31.585377852811749</v>
      </c>
      <c r="I165" s="188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:33" x14ac:dyDescent="0.3">
      <c r="A166" s="176" t="s">
        <v>527</v>
      </c>
      <c r="B166" s="176" t="s">
        <v>528</v>
      </c>
      <c r="C166" s="23" t="s">
        <v>25</v>
      </c>
      <c r="D166" s="23" t="s">
        <v>1426</v>
      </c>
      <c r="E166" s="25">
        <v>6048652588</v>
      </c>
      <c r="F166" s="188">
        <v>29787</v>
      </c>
      <c r="G166" s="23" t="s">
        <v>10</v>
      </c>
      <c r="H166" s="180">
        <v>35.550557521856653</v>
      </c>
      <c r="I166" s="188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:33" x14ac:dyDescent="0.3">
      <c r="A167" s="176" t="s">
        <v>529</v>
      </c>
      <c r="B167" s="176" t="s">
        <v>530</v>
      </c>
      <c r="C167" s="23" t="s">
        <v>29</v>
      </c>
      <c r="D167" s="23" t="s">
        <v>1427</v>
      </c>
      <c r="E167" s="25">
        <v>6088399625</v>
      </c>
      <c r="F167" s="188">
        <v>30496</v>
      </c>
      <c r="G167" s="23" t="s">
        <v>10</v>
      </c>
      <c r="H167" s="180">
        <v>30.700070357781826</v>
      </c>
      <c r="I167" s="188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:33" x14ac:dyDescent="0.3">
      <c r="A168" s="176" t="s">
        <v>190</v>
      </c>
      <c r="B168" s="176" t="s">
        <v>531</v>
      </c>
      <c r="C168" s="23" t="s">
        <v>26</v>
      </c>
      <c r="D168" s="23" t="s">
        <v>1428</v>
      </c>
      <c r="E168" s="25">
        <v>8196060038</v>
      </c>
      <c r="F168" s="188">
        <v>34693</v>
      </c>
      <c r="G168" s="23" t="s">
        <v>18</v>
      </c>
      <c r="H168" s="180">
        <v>31.012708614308732</v>
      </c>
      <c r="I168" s="18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:33" x14ac:dyDescent="0.3">
      <c r="A169" s="176" t="s">
        <v>532</v>
      </c>
      <c r="B169" s="176" t="s">
        <v>533</v>
      </c>
      <c r="C169" s="23" t="s">
        <v>25</v>
      </c>
      <c r="D169" s="23" t="s">
        <v>1429</v>
      </c>
      <c r="E169" s="25">
        <v>6066965088</v>
      </c>
      <c r="F169" s="188">
        <v>29899</v>
      </c>
      <c r="G169" s="23" t="s">
        <v>10</v>
      </c>
      <c r="H169" s="180">
        <v>38.193833869106143</v>
      </c>
      <c r="I169" s="188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:33" x14ac:dyDescent="0.3">
      <c r="A170" s="176" t="s">
        <v>534</v>
      </c>
      <c r="B170" s="176" t="s">
        <v>535</v>
      </c>
      <c r="C170" s="23" t="s">
        <v>43</v>
      </c>
      <c r="D170" s="23" t="s">
        <v>1430</v>
      </c>
      <c r="E170" s="25">
        <v>4015394899</v>
      </c>
      <c r="F170" s="188">
        <v>33339</v>
      </c>
      <c r="G170" s="23" t="s">
        <v>6</v>
      </c>
      <c r="H170" s="180">
        <v>39.461053657271719</v>
      </c>
      <c r="I170" s="188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:33" x14ac:dyDescent="0.3">
      <c r="A171" s="176" t="s">
        <v>536</v>
      </c>
      <c r="B171" s="176" t="s">
        <v>537</v>
      </c>
      <c r="C171" s="23" t="s">
        <v>9</v>
      </c>
      <c r="D171" s="23" t="s">
        <v>1431</v>
      </c>
      <c r="E171" s="25">
        <v>9034629606</v>
      </c>
      <c r="F171" s="188">
        <v>34836</v>
      </c>
      <c r="G171" s="23" t="s">
        <v>10</v>
      </c>
      <c r="H171" s="180">
        <v>33.559219182960376</v>
      </c>
      <c r="I171" s="188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:33" x14ac:dyDescent="0.3">
      <c r="A172" s="176" t="s">
        <v>538</v>
      </c>
      <c r="B172" s="176" t="s">
        <v>539</v>
      </c>
      <c r="C172" s="23" t="s">
        <v>9</v>
      </c>
      <c r="D172" s="23" t="s">
        <v>1432</v>
      </c>
      <c r="E172" s="25">
        <v>2185818082</v>
      </c>
      <c r="F172" s="188">
        <v>30039</v>
      </c>
      <c r="G172" s="23" t="s">
        <v>10</v>
      </c>
      <c r="H172" s="180">
        <v>31.663831640909891</v>
      </c>
      <c r="I172" s="188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:33" x14ac:dyDescent="0.3">
      <c r="A173" s="176" t="s">
        <v>540</v>
      </c>
      <c r="B173" s="176" t="s">
        <v>541</v>
      </c>
      <c r="C173" s="23" t="s">
        <v>27</v>
      </c>
      <c r="D173" s="23" t="s">
        <v>1433</v>
      </c>
      <c r="E173" s="25">
        <v>8182969056</v>
      </c>
      <c r="F173" s="188">
        <v>29379</v>
      </c>
      <c r="G173" s="23" t="s">
        <v>10</v>
      </c>
      <c r="H173" s="180">
        <v>33.459874999498773</v>
      </c>
      <c r="I173" s="188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:33" x14ac:dyDescent="0.3">
      <c r="A174" s="176" t="s">
        <v>542</v>
      </c>
      <c r="B174" s="176" t="s">
        <v>285</v>
      </c>
      <c r="C174" s="23" t="s">
        <v>23</v>
      </c>
      <c r="D174" s="23" t="s">
        <v>1434</v>
      </c>
      <c r="E174" s="25">
        <v>5054733288</v>
      </c>
      <c r="F174" s="188">
        <v>35625</v>
      </c>
      <c r="G174" s="23" t="s">
        <v>6</v>
      </c>
      <c r="H174" s="180">
        <v>38.009918443552003</v>
      </c>
      <c r="I174" s="188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:33" x14ac:dyDescent="0.3">
      <c r="A175" s="176" t="s">
        <v>543</v>
      </c>
      <c r="B175" s="176" t="s">
        <v>544</v>
      </c>
      <c r="C175" s="23" t="s">
        <v>17</v>
      </c>
      <c r="D175" s="23" t="s">
        <v>1435</v>
      </c>
      <c r="E175" s="25">
        <v>6144273090</v>
      </c>
      <c r="F175" s="188">
        <v>29487</v>
      </c>
      <c r="G175" s="23" t="s">
        <v>10</v>
      </c>
      <c r="H175" s="180">
        <v>39.515503504106377</v>
      </c>
      <c r="I175" s="188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:33" x14ac:dyDescent="0.3">
      <c r="A176" s="176" t="s">
        <v>545</v>
      </c>
      <c r="B176" s="176" t="s">
        <v>506</v>
      </c>
      <c r="C176" s="23" t="s">
        <v>17</v>
      </c>
      <c r="D176" s="23" t="s">
        <v>1436</v>
      </c>
      <c r="E176" s="25">
        <v>9171614846</v>
      </c>
      <c r="F176" s="188">
        <v>28537</v>
      </c>
      <c r="G176" s="23" t="s">
        <v>10</v>
      </c>
      <c r="H176" s="180">
        <v>35.520405113172565</v>
      </c>
      <c r="I176" s="188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:33" x14ac:dyDescent="0.3">
      <c r="A177" s="176" t="s">
        <v>546</v>
      </c>
      <c r="B177" s="176" t="s">
        <v>547</v>
      </c>
      <c r="C177" s="23" t="s">
        <v>23</v>
      </c>
      <c r="D177" s="23" t="s">
        <v>1437</v>
      </c>
      <c r="E177" s="25">
        <v>8057230063</v>
      </c>
      <c r="F177" s="188">
        <v>30367</v>
      </c>
      <c r="G177" s="23" t="s">
        <v>10</v>
      </c>
      <c r="H177" s="180">
        <v>32.038470458739397</v>
      </c>
      <c r="I177" s="188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:33" x14ac:dyDescent="0.3">
      <c r="A178" s="176" t="s">
        <v>548</v>
      </c>
      <c r="B178" s="176" t="s">
        <v>509</v>
      </c>
      <c r="C178" s="23" t="s">
        <v>28</v>
      </c>
      <c r="D178" s="23" t="s">
        <v>1438</v>
      </c>
      <c r="E178" s="25">
        <v>5191257896</v>
      </c>
      <c r="F178" s="188">
        <v>31933</v>
      </c>
      <c r="G178" s="23" t="s">
        <v>10</v>
      </c>
      <c r="H178" s="180">
        <v>31.667662163350631</v>
      </c>
      <c r="I178" s="18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:33" x14ac:dyDescent="0.3">
      <c r="A179" s="176" t="s">
        <v>549</v>
      </c>
      <c r="B179" s="176" t="s">
        <v>550</v>
      </c>
      <c r="C179" s="23" t="s">
        <v>25</v>
      </c>
      <c r="D179" s="23" t="s">
        <v>1439</v>
      </c>
      <c r="E179" s="25">
        <v>2115796953</v>
      </c>
      <c r="F179" s="188">
        <v>32417</v>
      </c>
      <c r="G179" s="23" t="s">
        <v>6</v>
      </c>
      <c r="H179" s="180">
        <v>32.864849797347013</v>
      </c>
      <c r="I179" s="188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:33" x14ac:dyDescent="0.3">
      <c r="A180" s="176" t="s">
        <v>551</v>
      </c>
      <c r="B180" s="176" t="s">
        <v>346</v>
      </c>
      <c r="C180" s="23" t="s">
        <v>9</v>
      </c>
      <c r="D180" s="23" t="s">
        <v>1440</v>
      </c>
      <c r="E180" s="25">
        <v>5084361873</v>
      </c>
      <c r="F180" s="188">
        <v>32648</v>
      </c>
      <c r="G180" s="23" t="s">
        <v>6</v>
      </c>
      <c r="H180" s="180">
        <v>32.103094678879984</v>
      </c>
      <c r="I180" s="188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:33" x14ac:dyDescent="0.3">
      <c r="A181" s="176" t="s">
        <v>552</v>
      </c>
      <c r="B181" s="176" t="s">
        <v>314</v>
      </c>
      <c r="C181" s="23" t="s">
        <v>25</v>
      </c>
      <c r="D181" s="23" t="s">
        <v>1441</v>
      </c>
      <c r="E181" s="25">
        <v>7118314799</v>
      </c>
      <c r="F181" s="188">
        <v>32663</v>
      </c>
      <c r="G181" s="23" t="s">
        <v>33</v>
      </c>
      <c r="H181" s="180">
        <v>37.298603958219111</v>
      </c>
      <c r="I181" s="188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:33" x14ac:dyDescent="0.3">
      <c r="A182" s="176" t="s">
        <v>553</v>
      </c>
      <c r="B182" s="176" t="s">
        <v>421</v>
      </c>
      <c r="C182" s="23" t="s">
        <v>5</v>
      </c>
      <c r="D182" s="23" t="s">
        <v>1442</v>
      </c>
      <c r="E182" s="25">
        <v>8022490678</v>
      </c>
      <c r="F182" s="188">
        <v>32789</v>
      </c>
      <c r="G182" s="23" t="s">
        <v>10</v>
      </c>
      <c r="H182" s="180">
        <v>32.872622164896434</v>
      </c>
      <c r="I182" s="188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:33" x14ac:dyDescent="0.3">
      <c r="A183" s="176" t="s">
        <v>554</v>
      </c>
      <c r="B183" s="176" t="s">
        <v>555</v>
      </c>
      <c r="C183" s="23" t="s">
        <v>17</v>
      </c>
      <c r="D183" s="23" t="s">
        <v>1443</v>
      </c>
      <c r="E183" s="25">
        <v>9111957923</v>
      </c>
      <c r="F183" s="188">
        <v>32694</v>
      </c>
      <c r="G183" s="23" t="s">
        <v>10</v>
      </c>
      <c r="H183" s="180">
        <v>33.167987510356113</v>
      </c>
      <c r="I183" s="188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:33" x14ac:dyDescent="0.3">
      <c r="A184" s="176" t="s">
        <v>257</v>
      </c>
      <c r="B184" s="176" t="s">
        <v>258</v>
      </c>
      <c r="C184" s="23" t="s">
        <v>30</v>
      </c>
      <c r="D184" s="23" t="s">
        <v>1444</v>
      </c>
      <c r="E184" s="25">
        <v>7041868104</v>
      </c>
      <c r="F184" s="188">
        <v>27859</v>
      </c>
      <c r="G184" s="23" t="s">
        <v>18</v>
      </c>
      <c r="H184" s="180">
        <v>31.664145664335944</v>
      </c>
      <c r="I184" s="188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:33" x14ac:dyDescent="0.3">
      <c r="A185" s="176" t="s">
        <v>556</v>
      </c>
      <c r="B185" s="176" t="s">
        <v>557</v>
      </c>
      <c r="C185" s="23" t="s">
        <v>28</v>
      </c>
      <c r="D185" s="23" t="s">
        <v>1445</v>
      </c>
      <c r="E185" s="25">
        <v>2086500529</v>
      </c>
      <c r="F185" s="188">
        <v>27858</v>
      </c>
      <c r="G185" s="23" t="s">
        <v>10</v>
      </c>
      <c r="H185" s="180">
        <v>35.438921053438179</v>
      </c>
      <c r="I185" s="188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:33" x14ac:dyDescent="0.3">
      <c r="A186" s="176" t="s">
        <v>558</v>
      </c>
      <c r="B186" s="176" t="s">
        <v>559</v>
      </c>
      <c r="C186" s="23" t="s">
        <v>29</v>
      </c>
      <c r="D186" s="23" t="s">
        <v>1446</v>
      </c>
      <c r="E186" s="25">
        <v>3065750692</v>
      </c>
      <c r="F186" s="188">
        <v>35747</v>
      </c>
      <c r="G186" s="23" t="s">
        <v>10</v>
      </c>
      <c r="H186" s="180">
        <v>35.694138349396411</v>
      </c>
      <c r="I186" s="188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:33" x14ac:dyDescent="0.3">
      <c r="A187" s="176" t="s">
        <v>560</v>
      </c>
      <c r="B187" s="176" t="s">
        <v>310</v>
      </c>
      <c r="C187" s="23" t="s">
        <v>9</v>
      </c>
      <c r="D187" s="23" t="s">
        <v>1447</v>
      </c>
      <c r="E187" s="25">
        <v>2198046670</v>
      </c>
      <c r="F187" s="188">
        <v>29671</v>
      </c>
      <c r="G187" s="23" t="s">
        <v>10</v>
      </c>
      <c r="H187" s="180">
        <v>37.614498896017388</v>
      </c>
      <c r="I187" s="188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:33" x14ac:dyDescent="0.3">
      <c r="A188" s="176" t="s">
        <v>561</v>
      </c>
      <c r="B188" s="176" t="s">
        <v>562</v>
      </c>
      <c r="C188" s="23" t="s">
        <v>5</v>
      </c>
      <c r="D188" s="23" t="s">
        <v>1448</v>
      </c>
      <c r="E188" s="25">
        <v>4058183445</v>
      </c>
      <c r="F188" s="188">
        <v>35708</v>
      </c>
      <c r="G188" s="23" t="s">
        <v>10</v>
      </c>
      <c r="H188" s="180">
        <v>33.709928070102009</v>
      </c>
      <c r="I188" s="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:33" x14ac:dyDescent="0.3">
      <c r="A189" s="176" t="s">
        <v>563</v>
      </c>
      <c r="B189" s="176" t="s">
        <v>564</v>
      </c>
      <c r="C189" s="23" t="s">
        <v>9</v>
      </c>
      <c r="D189" s="23" t="s">
        <v>1449</v>
      </c>
      <c r="E189" s="25">
        <v>2185119214</v>
      </c>
      <c r="F189" s="188">
        <v>28497</v>
      </c>
      <c r="G189" s="23" t="s">
        <v>10</v>
      </c>
      <c r="H189" s="180">
        <v>39.178267805842964</v>
      </c>
      <c r="I189" s="188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:33" x14ac:dyDescent="0.3">
      <c r="A190" s="176" t="s">
        <v>219</v>
      </c>
      <c r="B190" s="176" t="s">
        <v>423</v>
      </c>
      <c r="C190" s="23" t="s">
        <v>27</v>
      </c>
      <c r="D190" s="23" t="s">
        <v>1450</v>
      </c>
      <c r="E190" s="25">
        <v>9015876028</v>
      </c>
      <c r="F190" s="188">
        <v>29369</v>
      </c>
      <c r="G190" s="23" t="s">
        <v>10</v>
      </c>
      <c r="H190" s="180">
        <v>33.494375352310144</v>
      </c>
      <c r="I190" s="188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:33" x14ac:dyDescent="0.3">
      <c r="A191" s="176" t="s">
        <v>565</v>
      </c>
      <c r="B191" s="176" t="s">
        <v>566</v>
      </c>
      <c r="C191" s="23" t="s">
        <v>9</v>
      </c>
      <c r="D191" s="23" t="s">
        <v>1451</v>
      </c>
      <c r="E191" s="25">
        <v>8032416398</v>
      </c>
      <c r="F191" s="188">
        <v>29787</v>
      </c>
      <c r="G191" s="23" t="s">
        <v>10</v>
      </c>
      <c r="H191" s="180">
        <v>34.361958987216425</v>
      </c>
      <c r="I191" s="188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:33" x14ac:dyDescent="0.3">
      <c r="A192" s="176" t="s">
        <v>567</v>
      </c>
      <c r="B192" s="176" t="s">
        <v>271</v>
      </c>
      <c r="C192" s="23" t="s">
        <v>17</v>
      </c>
      <c r="D192" s="23" t="s">
        <v>1452</v>
      </c>
      <c r="E192" s="25">
        <v>6033265407</v>
      </c>
      <c r="F192" s="188">
        <v>35194</v>
      </c>
      <c r="G192" s="23" t="s">
        <v>10</v>
      </c>
      <c r="H192" s="180">
        <v>32.510512376101943</v>
      </c>
      <c r="I192" s="188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:33" x14ac:dyDescent="0.3">
      <c r="A193" s="176" t="s">
        <v>568</v>
      </c>
      <c r="B193" s="176" t="s">
        <v>395</v>
      </c>
      <c r="C193" s="23" t="s">
        <v>17</v>
      </c>
      <c r="D193" s="23" t="s">
        <v>1453</v>
      </c>
      <c r="E193" s="25">
        <v>8022712826</v>
      </c>
      <c r="F193" s="188">
        <v>28025</v>
      </c>
      <c r="G193" s="23" t="s">
        <v>10</v>
      </c>
      <c r="H193" s="180">
        <v>32.097553916005417</v>
      </c>
      <c r="I193" s="188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:33" x14ac:dyDescent="0.3">
      <c r="A194" s="176" t="s">
        <v>569</v>
      </c>
      <c r="B194" s="176" t="s">
        <v>570</v>
      </c>
      <c r="C194" s="23" t="s">
        <v>43</v>
      </c>
      <c r="D194" s="23" t="s">
        <v>1454</v>
      </c>
      <c r="E194" s="25">
        <v>4034588703</v>
      </c>
      <c r="F194" s="188">
        <v>27920</v>
      </c>
      <c r="G194" s="23" t="s">
        <v>10</v>
      </c>
      <c r="H194" s="180">
        <v>37.929557028440477</v>
      </c>
      <c r="I194" s="188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:33" x14ac:dyDescent="0.3">
      <c r="A195" s="176" t="s">
        <v>571</v>
      </c>
      <c r="B195" s="176" t="s">
        <v>572</v>
      </c>
      <c r="C195" s="23" t="s">
        <v>32</v>
      </c>
      <c r="D195" s="23" t="s">
        <v>1455</v>
      </c>
      <c r="E195" s="25">
        <v>2178038161</v>
      </c>
      <c r="F195" s="188">
        <v>28613</v>
      </c>
      <c r="G195" s="23" t="s">
        <v>6</v>
      </c>
      <c r="H195" s="180">
        <v>34.248907811242368</v>
      </c>
      <c r="I195" s="188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:33" x14ac:dyDescent="0.3">
      <c r="A196" s="176" t="s">
        <v>573</v>
      </c>
      <c r="B196" s="176" t="s">
        <v>574</v>
      </c>
      <c r="C196" s="23" t="s">
        <v>25</v>
      </c>
      <c r="D196" s="23" t="s">
        <v>1456</v>
      </c>
      <c r="E196" s="25">
        <v>4054747044</v>
      </c>
      <c r="F196" s="188">
        <v>28933</v>
      </c>
      <c r="G196" s="23" t="s">
        <v>10</v>
      </c>
      <c r="H196" s="180">
        <v>31.77957336410558</v>
      </c>
      <c r="I196" s="188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:33" x14ac:dyDescent="0.3">
      <c r="A197" s="176" t="s">
        <v>575</v>
      </c>
      <c r="B197" s="176" t="s">
        <v>445</v>
      </c>
      <c r="C197" s="23" t="s">
        <v>23</v>
      </c>
      <c r="D197" s="23" t="s">
        <v>1457</v>
      </c>
      <c r="E197" s="25">
        <v>2023883919</v>
      </c>
      <c r="F197" s="188">
        <v>29787</v>
      </c>
      <c r="G197" s="23" t="s">
        <v>6</v>
      </c>
      <c r="H197" s="180">
        <v>38.39679560673067</v>
      </c>
      <c r="I197" s="188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:33" x14ac:dyDescent="0.3">
      <c r="A198" s="176" t="s">
        <v>576</v>
      </c>
      <c r="B198" s="176" t="s">
        <v>577</v>
      </c>
      <c r="C198" s="23" t="s">
        <v>9</v>
      </c>
      <c r="D198" s="23" t="s">
        <v>1458</v>
      </c>
      <c r="E198" s="25">
        <v>8162053579</v>
      </c>
      <c r="F198" s="188">
        <v>30496</v>
      </c>
      <c r="G198" s="23" t="s">
        <v>6</v>
      </c>
      <c r="H198" s="180">
        <v>36.094301480972618</v>
      </c>
      <c r="I198" s="18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:33" x14ac:dyDescent="0.3">
      <c r="A199" s="176" t="s">
        <v>578</v>
      </c>
      <c r="B199" s="176" t="s">
        <v>399</v>
      </c>
      <c r="C199" s="23" t="s">
        <v>25</v>
      </c>
      <c r="D199" s="23" t="s">
        <v>1459</v>
      </c>
      <c r="E199" s="25">
        <v>7085197037</v>
      </c>
      <c r="F199" s="188">
        <v>34693</v>
      </c>
      <c r="G199" s="23" t="s">
        <v>10</v>
      </c>
      <c r="H199" s="180">
        <v>34.700207811287157</v>
      </c>
      <c r="I199" s="188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:33" x14ac:dyDescent="0.3">
      <c r="A200" s="176" t="s">
        <v>579</v>
      </c>
      <c r="B200" s="176" t="s">
        <v>580</v>
      </c>
      <c r="C200" s="23" t="s">
        <v>9</v>
      </c>
      <c r="D200" s="23" t="s">
        <v>1460</v>
      </c>
      <c r="E200" s="25">
        <v>5137950668</v>
      </c>
      <c r="F200" s="188">
        <v>29899</v>
      </c>
      <c r="G200" s="23" t="s">
        <v>10</v>
      </c>
      <c r="H200" s="180">
        <v>38.805821177483963</v>
      </c>
      <c r="I200" s="188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:33" x14ac:dyDescent="0.3">
      <c r="A201" s="176" t="s">
        <v>581</v>
      </c>
      <c r="B201" s="176" t="s">
        <v>405</v>
      </c>
      <c r="C201" s="23" t="s">
        <v>27</v>
      </c>
      <c r="D201" s="23" t="s">
        <v>1461</v>
      </c>
      <c r="E201" s="25">
        <v>6131628807</v>
      </c>
      <c r="F201" s="188">
        <v>33339</v>
      </c>
      <c r="G201" s="23" t="s">
        <v>10</v>
      </c>
      <c r="H201" s="180">
        <v>34.587716451750204</v>
      </c>
      <c r="I201" s="188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:33" x14ac:dyDescent="0.3">
      <c r="A202" s="176" t="s">
        <v>582</v>
      </c>
      <c r="B202" s="176" t="s">
        <v>405</v>
      </c>
      <c r="C202" s="23" t="s">
        <v>23</v>
      </c>
      <c r="D202" s="23" t="s">
        <v>1462</v>
      </c>
      <c r="E202" s="25">
        <v>4114630903</v>
      </c>
      <c r="F202" s="188">
        <v>34836</v>
      </c>
      <c r="G202" s="23" t="s">
        <v>18</v>
      </c>
      <c r="H202" s="180">
        <v>30.825448193378453</v>
      </c>
      <c r="I202" s="188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:33" x14ac:dyDescent="0.3">
      <c r="A203" s="176" t="s">
        <v>583</v>
      </c>
      <c r="B203" s="176" t="s">
        <v>399</v>
      </c>
      <c r="C203" s="23" t="s">
        <v>17</v>
      </c>
      <c r="D203" s="23" t="s">
        <v>1463</v>
      </c>
      <c r="E203" s="25">
        <v>4098545681</v>
      </c>
      <c r="F203" s="188">
        <v>30039</v>
      </c>
      <c r="G203" s="23" t="s">
        <v>10</v>
      </c>
      <c r="H203" s="180">
        <v>39.138031261375446</v>
      </c>
      <c r="I203" s="188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:33" x14ac:dyDescent="0.3">
      <c r="A204" s="176" t="s">
        <v>584</v>
      </c>
      <c r="B204" s="176" t="s">
        <v>585</v>
      </c>
      <c r="C204" s="23" t="s">
        <v>9</v>
      </c>
      <c r="D204" s="23" t="s">
        <v>1464</v>
      </c>
      <c r="E204" s="25">
        <v>5197237007</v>
      </c>
      <c r="F204" s="188">
        <v>29379</v>
      </c>
      <c r="G204" s="23" t="s">
        <v>10</v>
      </c>
      <c r="H204" s="180">
        <v>33.856186486759512</v>
      </c>
      <c r="I204" s="188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:33" x14ac:dyDescent="0.3">
      <c r="A205" s="176" t="s">
        <v>586</v>
      </c>
      <c r="B205" s="176" t="s">
        <v>310</v>
      </c>
      <c r="C205" s="23" t="s">
        <v>5</v>
      </c>
      <c r="D205" s="23" t="s">
        <v>1465</v>
      </c>
      <c r="E205" s="25">
        <v>7051351512</v>
      </c>
      <c r="F205" s="188">
        <v>35625</v>
      </c>
      <c r="G205" s="23" t="s">
        <v>10</v>
      </c>
      <c r="H205" s="180">
        <v>35.755390521847808</v>
      </c>
      <c r="I205" s="188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:33" x14ac:dyDescent="0.3">
      <c r="A206" s="176" t="s">
        <v>587</v>
      </c>
      <c r="B206" s="176" t="s">
        <v>411</v>
      </c>
      <c r="C206" s="23" t="s">
        <v>31</v>
      </c>
      <c r="D206" s="23" t="s">
        <v>1466</v>
      </c>
      <c r="E206" s="25">
        <v>2064999647</v>
      </c>
      <c r="F206" s="188">
        <v>29487</v>
      </c>
      <c r="G206" s="23" t="s">
        <v>18</v>
      </c>
      <c r="H206" s="180">
        <v>38.485514690914968</v>
      </c>
      <c r="I206" s="188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:33" x14ac:dyDescent="0.3">
      <c r="A207" s="176" t="s">
        <v>588</v>
      </c>
      <c r="B207" s="176" t="s">
        <v>589</v>
      </c>
      <c r="C207" s="23" t="s">
        <v>29</v>
      </c>
      <c r="D207" s="23" t="s">
        <v>1467</v>
      </c>
      <c r="E207" s="25">
        <v>9173820411</v>
      </c>
      <c r="F207" s="188">
        <v>28537</v>
      </c>
      <c r="G207" s="23" t="s">
        <v>33</v>
      </c>
      <c r="H207" s="180">
        <v>35.74803930162102</v>
      </c>
      <c r="I207" s="188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:33" x14ac:dyDescent="0.3">
      <c r="A208" s="176" t="s">
        <v>590</v>
      </c>
      <c r="B208" s="176" t="s">
        <v>475</v>
      </c>
      <c r="C208" s="23" t="s">
        <v>39</v>
      </c>
      <c r="D208" s="23" t="s">
        <v>1468</v>
      </c>
      <c r="E208" s="25">
        <v>2162729524</v>
      </c>
      <c r="F208" s="188">
        <v>30367</v>
      </c>
      <c r="G208" s="23" t="s">
        <v>6</v>
      </c>
      <c r="H208" s="180">
        <v>39.051760486168966</v>
      </c>
      <c r="I208" s="18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:33" x14ac:dyDescent="0.3">
      <c r="A209" s="176" t="s">
        <v>591</v>
      </c>
      <c r="B209" s="176" t="s">
        <v>592</v>
      </c>
      <c r="C209" s="23" t="s">
        <v>31</v>
      </c>
      <c r="D209" s="23" t="s">
        <v>1289</v>
      </c>
      <c r="E209" s="25">
        <v>3098413896</v>
      </c>
      <c r="F209" s="188">
        <v>31933</v>
      </c>
      <c r="G209" s="23" t="s">
        <v>10</v>
      </c>
      <c r="H209" s="180">
        <v>38.412491821302609</v>
      </c>
      <c r="I209" s="188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:33" x14ac:dyDescent="0.3">
      <c r="A210" s="176" t="s">
        <v>593</v>
      </c>
      <c r="B210" s="176" t="s">
        <v>346</v>
      </c>
      <c r="C210" s="23" t="s">
        <v>25</v>
      </c>
      <c r="D210" s="23" t="s">
        <v>1469</v>
      </c>
      <c r="E210" s="25">
        <v>8144694617</v>
      </c>
      <c r="F210" s="188">
        <v>32417</v>
      </c>
      <c r="G210" s="23" t="s">
        <v>10</v>
      </c>
      <c r="H210" s="180">
        <v>33.827024973734403</v>
      </c>
      <c r="I210" s="188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:33" x14ac:dyDescent="0.3">
      <c r="A211" s="176" t="s">
        <v>594</v>
      </c>
      <c r="B211" s="176" t="s">
        <v>580</v>
      </c>
      <c r="C211" s="23" t="s">
        <v>35</v>
      </c>
      <c r="D211" s="23" t="s">
        <v>1470</v>
      </c>
      <c r="E211" s="25">
        <v>9077226463</v>
      </c>
      <c r="F211" s="188">
        <v>32648</v>
      </c>
      <c r="G211" s="23" t="s">
        <v>10</v>
      </c>
      <c r="H211" s="180">
        <v>37.262424179055614</v>
      </c>
      <c r="I211" s="188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:33" x14ac:dyDescent="0.3">
      <c r="A212" s="176" t="s">
        <v>595</v>
      </c>
      <c r="B212" s="176" t="s">
        <v>310</v>
      </c>
      <c r="C212" s="23" t="s">
        <v>9</v>
      </c>
      <c r="D212" s="23" t="s">
        <v>1471</v>
      </c>
      <c r="E212" s="25">
        <v>3188138394</v>
      </c>
      <c r="F212" s="188">
        <v>32663</v>
      </c>
      <c r="G212" s="23" t="s">
        <v>10</v>
      </c>
      <c r="H212" s="180">
        <v>35.860242366299389</v>
      </c>
      <c r="I212" s="188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:33" x14ac:dyDescent="0.3">
      <c r="A213" s="176" t="s">
        <v>596</v>
      </c>
      <c r="B213" s="176" t="s">
        <v>405</v>
      </c>
      <c r="C213" s="23" t="s">
        <v>9</v>
      </c>
      <c r="D213" s="23" t="s">
        <v>1472</v>
      </c>
      <c r="E213" s="25">
        <v>6133355100</v>
      </c>
      <c r="F213" s="188">
        <v>32789</v>
      </c>
      <c r="G213" s="23" t="s">
        <v>10</v>
      </c>
      <c r="H213" s="180">
        <v>32.70461849665282</v>
      </c>
      <c r="I213" s="188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:33" x14ac:dyDescent="0.3">
      <c r="A214" s="176" t="s">
        <v>597</v>
      </c>
      <c r="B214" s="176" t="s">
        <v>598</v>
      </c>
      <c r="C214" s="23" t="s">
        <v>32</v>
      </c>
      <c r="D214" s="23" t="s">
        <v>1473</v>
      </c>
      <c r="E214" s="25">
        <v>3175978858</v>
      </c>
      <c r="F214" s="188">
        <v>30152</v>
      </c>
      <c r="G214" s="23" t="s">
        <v>33</v>
      </c>
      <c r="H214" s="180">
        <v>31.00609527422008</v>
      </c>
      <c r="I214" s="188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:33" x14ac:dyDescent="0.3">
      <c r="A215" s="176" t="s">
        <v>599</v>
      </c>
      <c r="B215" s="176" t="s">
        <v>600</v>
      </c>
      <c r="C215" s="23" t="s">
        <v>28</v>
      </c>
      <c r="D215" s="23" t="s">
        <v>1474</v>
      </c>
      <c r="E215" s="25">
        <v>2024331646</v>
      </c>
      <c r="F215" s="188">
        <v>33961</v>
      </c>
      <c r="G215" s="23" t="s">
        <v>10</v>
      </c>
      <c r="H215" s="180">
        <v>38.50611951052862</v>
      </c>
      <c r="I215" s="188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:33" x14ac:dyDescent="0.3">
      <c r="A216" s="176" t="s">
        <v>601</v>
      </c>
      <c r="B216" s="176" t="s">
        <v>602</v>
      </c>
      <c r="C216" s="23" t="s">
        <v>9</v>
      </c>
      <c r="D216" s="23" t="s">
        <v>1475</v>
      </c>
      <c r="E216" s="25">
        <v>4043613417</v>
      </c>
      <c r="F216" s="188">
        <v>28848</v>
      </c>
      <c r="G216" s="23" t="s">
        <v>6</v>
      </c>
      <c r="H216" s="180">
        <v>31.205251641715897</v>
      </c>
      <c r="I216" s="188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:33" x14ac:dyDescent="0.3">
      <c r="A217" s="176" t="s">
        <v>206</v>
      </c>
      <c r="B217" s="176" t="s">
        <v>207</v>
      </c>
      <c r="C217" s="23" t="s">
        <v>9</v>
      </c>
      <c r="D217" s="23" t="s">
        <v>1476</v>
      </c>
      <c r="E217" s="25">
        <v>5185295649</v>
      </c>
      <c r="F217" s="188">
        <v>30631</v>
      </c>
      <c r="G217" s="23" t="s">
        <v>10</v>
      </c>
      <c r="H217" s="180">
        <v>38.35138079256371</v>
      </c>
      <c r="I217" s="188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:33" x14ac:dyDescent="0.3">
      <c r="A218" s="176" t="s">
        <v>206</v>
      </c>
      <c r="B218" s="176" t="s">
        <v>285</v>
      </c>
      <c r="C218" s="23" t="s">
        <v>9</v>
      </c>
      <c r="D218" s="23" t="s">
        <v>1477</v>
      </c>
      <c r="E218" s="25">
        <v>8096505454</v>
      </c>
      <c r="F218" s="188">
        <v>28311</v>
      </c>
      <c r="G218" s="23" t="s">
        <v>10</v>
      </c>
      <c r="H218" s="180">
        <v>36.135631870777345</v>
      </c>
      <c r="I218" s="18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:33" x14ac:dyDescent="0.3">
      <c r="A219" s="176" t="s">
        <v>603</v>
      </c>
      <c r="B219" s="176" t="s">
        <v>285</v>
      </c>
      <c r="C219" s="23" t="s">
        <v>9</v>
      </c>
      <c r="D219" s="23" t="s">
        <v>1478</v>
      </c>
      <c r="E219" s="25">
        <v>6195866679</v>
      </c>
      <c r="F219" s="188">
        <v>29702</v>
      </c>
      <c r="G219" s="23" t="s">
        <v>10</v>
      </c>
      <c r="H219" s="180">
        <v>32.634297877435024</v>
      </c>
      <c r="I219" s="188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:33" x14ac:dyDescent="0.3">
      <c r="A220" s="176" t="s">
        <v>604</v>
      </c>
      <c r="B220" s="176" t="s">
        <v>605</v>
      </c>
      <c r="C220" s="23" t="s">
        <v>28</v>
      </c>
      <c r="D220" s="23" t="s">
        <v>1479</v>
      </c>
      <c r="E220" s="25">
        <v>4081198851</v>
      </c>
      <c r="F220" s="188">
        <v>32694</v>
      </c>
      <c r="G220" s="23" t="s">
        <v>6</v>
      </c>
      <c r="H220" s="180">
        <v>37.585648335897361</v>
      </c>
      <c r="I220" s="188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:33" x14ac:dyDescent="0.3">
      <c r="A221" s="176" t="s">
        <v>606</v>
      </c>
      <c r="B221" s="176" t="s">
        <v>607</v>
      </c>
      <c r="C221" s="23" t="s">
        <v>23</v>
      </c>
      <c r="D221" s="23" t="s">
        <v>1480</v>
      </c>
      <c r="E221" s="25">
        <v>9136563683</v>
      </c>
      <c r="F221" s="188">
        <v>27859</v>
      </c>
      <c r="G221" s="23" t="s">
        <v>6</v>
      </c>
      <c r="H221" s="180">
        <v>33.056854947187524</v>
      </c>
      <c r="I221" s="188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:33" x14ac:dyDescent="0.3">
      <c r="A222" s="176" t="s">
        <v>608</v>
      </c>
      <c r="B222" s="176" t="s">
        <v>408</v>
      </c>
      <c r="C222" s="23" t="s">
        <v>40</v>
      </c>
      <c r="D222" s="23" t="s">
        <v>1481</v>
      </c>
      <c r="E222" s="25">
        <v>5182872439</v>
      </c>
      <c r="F222" s="188">
        <v>27858</v>
      </c>
      <c r="G222" s="23" t="s">
        <v>10</v>
      </c>
      <c r="H222" s="180">
        <v>33.049093071121646</v>
      </c>
      <c r="I222" s="188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:33" x14ac:dyDescent="0.3">
      <c r="A223" s="176" t="s">
        <v>609</v>
      </c>
      <c r="B223" s="176" t="s">
        <v>285</v>
      </c>
      <c r="C223" s="23" t="s">
        <v>23</v>
      </c>
      <c r="D223" s="23" t="s">
        <v>1482</v>
      </c>
      <c r="E223" s="25">
        <v>7056698101</v>
      </c>
      <c r="F223" s="188">
        <v>35747</v>
      </c>
      <c r="G223" s="23" t="s">
        <v>10</v>
      </c>
      <c r="H223" s="180">
        <v>31.212907308462782</v>
      </c>
      <c r="I223" s="188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:33" x14ac:dyDescent="0.3">
      <c r="A224" s="176" t="s">
        <v>610</v>
      </c>
      <c r="B224" s="176" t="s">
        <v>541</v>
      </c>
      <c r="C224" s="23" t="s">
        <v>25</v>
      </c>
      <c r="D224" s="23" t="s">
        <v>1483</v>
      </c>
      <c r="E224" s="25">
        <v>7126853122</v>
      </c>
      <c r="F224" s="188">
        <v>29671</v>
      </c>
      <c r="G224" s="23" t="s">
        <v>33</v>
      </c>
      <c r="H224" s="180">
        <v>31.344130419888305</v>
      </c>
      <c r="I224" s="188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:33" x14ac:dyDescent="0.3">
      <c r="A225" s="176" t="s">
        <v>611</v>
      </c>
      <c r="B225" s="176" t="s">
        <v>322</v>
      </c>
      <c r="C225" s="23" t="s">
        <v>29</v>
      </c>
      <c r="D225" s="23" t="s">
        <v>1484</v>
      </c>
      <c r="E225" s="25">
        <v>9086966637</v>
      </c>
      <c r="F225" s="188">
        <v>35708</v>
      </c>
      <c r="G225" s="23" t="s">
        <v>18</v>
      </c>
      <c r="H225" s="180">
        <v>37.653356143257753</v>
      </c>
      <c r="I225" s="188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:33" x14ac:dyDescent="0.3">
      <c r="A226" s="176" t="s">
        <v>612</v>
      </c>
      <c r="B226" s="176" t="s">
        <v>613</v>
      </c>
      <c r="C226" s="23" t="s">
        <v>25</v>
      </c>
      <c r="D226" s="23" t="s">
        <v>1485</v>
      </c>
      <c r="E226" s="25">
        <v>8191963194</v>
      </c>
      <c r="F226" s="188">
        <v>28497</v>
      </c>
      <c r="G226" s="23" t="s">
        <v>10</v>
      </c>
      <c r="H226" s="180">
        <v>30.837911172035351</v>
      </c>
      <c r="I226" s="188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:33" x14ac:dyDescent="0.3">
      <c r="A227" s="176" t="s">
        <v>614</v>
      </c>
      <c r="B227" s="176" t="s">
        <v>615</v>
      </c>
      <c r="C227" s="23" t="s">
        <v>30</v>
      </c>
      <c r="D227" s="23" t="s">
        <v>1486</v>
      </c>
      <c r="E227" s="25">
        <v>8058566597</v>
      </c>
      <c r="F227" s="188">
        <v>29369</v>
      </c>
      <c r="G227" s="23" t="s">
        <v>18</v>
      </c>
      <c r="H227" s="180">
        <v>31.034061813313993</v>
      </c>
      <c r="I227" s="188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:33" x14ac:dyDescent="0.3">
      <c r="A228" s="176" t="s">
        <v>616</v>
      </c>
      <c r="B228" s="176" t="s">
        <v>509</v>
      </c>
      <c r="C228" s="23" t="s">
        <v>26</v>
      </c>
      <c r="D228" s="23" t="s">
        <v>1487</v>
      </c>
      <c r="E228" s="25">
        <v>4196650531</v>
      </c>
      <c r="F228" s="188">
        <v>29787</v>
      </c>
      <c r="G228" s="23" t="s">
        <v>6</v>
      </c>
      <c r="H228" s="180">
        <v>30.407415050496141</v>
      </c>
      <c r="I228" s="18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:33" x14ac:dyDescent="0.3">
      <c r="A229" s="176" t="s">
        <v>617</v>
      </c>
      <c r="B229" s="176" t="s">
        <v>618</v>
      </c>
      <c r="C229" s="23" t="s">
        <v>9</v>
      </c>
      <c r="D229" s="23" t="s">
        <v>1488</v>
      </c>
      <c r="E229" s="25">
        <v>2193327522</v>
      </c>
      <c r="F229" s="188">
        <v>35194</v>
      </c>
      <c r="G229" s="23" t="s">
        <v>6</v>
      </c>
      <c r="H229" s="180">
        <v>39.21315959043163</v>
      </c>
      <c r="I229" s="188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:33" x14ac:dyDescent="0.3">
      <c r="A230" s="176" t="s">
        <v>619</v>
      </c>
      <c r="B230" s="176" t="s">
        <v>413</v>
      </c>
      <c r="C230" s="23" t="s">
        <v>27</v>
      </c>
      <c r="D230" s="23" t="s">
        <v>1489</v>
      </c>
      <c r="E230" s="25">
        <v>7191876990</v>
      </c>
      <c r="F230" s="188">
        <v>28025</v>
      </c>
      <c r="G230" s="23" t="s">
        <v>18</v>
      </c>
      <c r="H230" s="180">
        <v>32.860886070216104</v>
      </c>
      <c r="I230" s="188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:33" x14ac:dyDescent="0.3">
      <c r="A231" s="176" t="s">
        <v>115</v>
      </c>
      <c r="B231" s="176" t="s">
        <v>620</v>
      </c>
      <c r="C231" s="23" t="s">
        <v>28</v>
      </c>
      <c r="D231" s="23" t="s">
        <v>1490</v>
      </c>
      <c r="E231" s="25">
        <v>2186657361</v>
      </c>
      <c r="F231" s="188">
        <v>27920</v>
      </c>
      <c r="G231" s="23" t="s">
        <v>6</v>
      </c>
      <c r="H231" s="180">
        <v>30.768638572073719</v>
      </c>
      <c r="I231" s="188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:33" x14ac:dyDescent="0.3">
      <c r="A232" s="176" t="s">
        <v>621</v>
      </c>
      <c r="B232" s="176" t="s">
        <v>577</v>
      </c>
      <c r="C232" s="23" t="s">
        <v>29</v>
      </c>
      <c r="D232" s="23" t="s">
        <v>1491</v>
      </c>
      <c r="E232" s="25">
        <v>4115998691</v>
      </c>
      <c r="F232" s="188">
        <v>28613</v>
      </c>
      <c r="G232" s="23" t="s">
        <v>10</v>
      </c>
      <c r="H232" s="180">
        <v>35.164907251814739</v>
      </c>
      <c r="I232" s="188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:33" x14ac:dyDescent="0.3">
      <c r="A233" s="176" t="s">
        <v>622</v>
      </c>
      <c r="B233" s="176" t="s">
        <v>623</v>
      </c>
      <c r="C233" s="23" t="s">
        <v>9</v>
      </c>
      <c r="D233" s="23" t="s">
        <v>1492</v>
      </c>
      <c r="E233" s="25">
        <v>5147045091</v>
      </c>
      <c r="F233" s="188">
        <v>28933</v>
      </c>
      <c r="G233" s="23" t="s">
        <v>10</v>
      </c>
      <c r="H233" s="180">
        <v>33.602345362555475</v>
      </c>
      <c r="I233" s="188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:33" x14ac:dyDescent="0.3">
      <c r="A234" s="176" t="s">
        <v>624</v>
      </c>
      <c r="B234" s="176" t="s">
        <v>625</v>
      </c>
      <c r="C234" s="23" t="s">
        <v>9</v>
      </c>
      <c r="D234" s="23" t="s">
        <v>1493</v>
      </c>
      <c r="E234" s="25">
        <v>4086391402</v>
      </c>
      <c r="F234" s="188">
        <v>29787</v>
      </c>
      <c r="G234" s="23" t="s">
        <v>10</v>
      </c>
      <c r="H234" s="180">
        <v>35.876064024960542</v>
      </c>
      <c r="I234" s="188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:33" x14ac:dyDescent="0.3">
      <c r="A235" s="176" t="s">
        <v>626</v>
      </c>
      <c r="B235" s="176" t="s">
        <v>627</v>
      </c>
      <c r="C235" s="23" t="s">
        <v>25</v>
      </c>
      <c r="D235" s="23" t="s">
        <v>1494</v>
      </c>
      <c r="E235" s="25">
        <v>7114125294</v>
      </c>
      <c r="F235" s="188">
        <v>30496</v>
      </c>
      <c r="G235" s="23" t="s">
        <v>10</v>
      </c>
      <c r="H235" s="180">
        <v>33.286145701763054</v>
      </c>
      <c r="I235" s="188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:33" x14ac:dyDescent="0.3">
      <c r="A236" s="176" t="s">
        <v>628</v>
      </c>
      <c r="B236" s="176" t="s">
        <v>629</v>
      </c>
      <c r="C236" s="23" t="s">
        <v>30</v>
      </c>
      <c r="D236" s="23" t="s">
        <v>1495</v>
      </c>
      <c r="E236" s="25">
        <v>6117687161</v>
      </c>
      <c r="F236" s="188">
        <v>34693</v>
      </c>
      <c r="G236" s="23" t="s">
        <v>10</v>
      </c>
      <c r="H236" s="180">
        <v>39.776704843436789</v>
      </c>
      <c r="I236" s="188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:33" x14ac:dyDescent="0.3">
      <c r="A237" s="176" t="s">
        <v>630</v>
      </c>
      <c r="B237" s="176" t="s">
        <v>385</v>
      </c>
      <c r="C237" s="23" t="s">
        <v>9</v>
      </c>
      <c r="D237" s="23" t="s">
        <v>1496</v>
      </c>
      <c r="E237" s="25">
        <v>6075157707</v>
      </c>
      <c r="F237" s="188">
        <v>29899</v>
      </c>
      <c r="G237" s="23" t="s">
        <v>6</v>
      </c>
      <c r="H237" s="180">
        <v>33.883958733536659</v>
      </c>
      <c r="I237" s="188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:33" x14ac:dyDescent="0.3">
      <c r="A238" s="176" t="s">
        <v>631</v>
      </c>
      <c r="B238" s="176" t="s">
        <v>632</v>
      </c>
      <c r="C238" s="23" t="s">
        <v>9</v>
      </c>
      <c r="D238" s="23" t="s">
        <v>1497</v>
      </c>
      <c r="E238" s="25">
        <v>2148687353</v>
      </c>
      <c r="F238" s="188">
        <v>33339</v>
      </c>
      <c r="G238" s="23" t="s">
        <v>10</v>
      </c>
      <c r="H238" s="180">
        <v>39.683554098742007</v>
      </c>
      <c r="I238" s="18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:33" x14ac:dyDescent="0.3">
      <c r="A239" s="176" t="s">
        <v>633</v>
      </c>
      <c r="B239" s="176" t="s">
        <v>395</v>
      </c>
      <c r="C239" s="23" t="s">
        <v>32</v>
      </c>
      <c r="D239" s="23" t="s">
        <v>1498</v>
      </c>
      <c r="E239" s="25">
        <v>5094603155</v>
      </c>
      <c r="F239" s="188">
        <v>34836</v>
      </c>
      <c r="G239" s="23" t="s">
        <v>10</v>
      </c>
      <c r="H239" s="180">
        <v>33.066985142202519</v>
      </c>
      <c r="I239" s="188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:33" x14ac:dyDescent="0.3">
      <c r="A240" s="176" t="s">
        <v>634</v>
      </c>
      <c r="B240" s="176" t="s">
        <v>635</v>
      </c>
      <c r="C240" s="23" t="s">
        <v>17</v>
      </c>
      <c r="D240" s="23" t="s">
        <v>1499</v>
      </c>
      <c r="E240" s="25">
        <v>6091264786</v>
      </c>
      <c r="F240" s="188">
        <v>30039</v>
      </c>
      <c r="G240" s="23" t="s">
        <v>10</v>
      </c>
      <c r="H240" s="180">
        <v>39.406348085354857</v>
      </c>
      <c r="I240" s="188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:33" x14ac:dyDescent="0.3">
      <c r="A241" s="176" t="s">
        <v>636</v>
      </c>
      <c r="B241" s="176" t="s">
        <v>637</v>
      </c>
      <c r="C241" s="23" t="s">
        <v>27</v>
      </c>
      <c r="D241" s="23" t="s">
        <v>1500</v>
      </c>
      <c r="E241" s="25">
        <v>5025804771</v>
      </c>
      <c r="F241" s="188">
        <v>29379</v>
      </c>
      <c r="G241" s="23" t="s">
        <v>10</v>
      </c>
      <c r="H241" s="180">
        <v>30.715476352018367</v>
      </c>
      <c r="I241" s="188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:33" x14ac:dyDescent="0.3">
      <c r="A242" s="176" t="s">
        <v>638</v>
      </c>
      <c r="B242" s="176" t="s">
        <v>353</v>
      </c>
      <c r="C242" s="23" t="s">
        <v>9</v>
      </c>
      <c r="D242" s="23" t="s">
        <v>1501</v>
      </c>
      <c r="E242" s="25">
        <v>7056104400</v>
      </c>
      <c r="F242" s="188">
        <v>35625</v>
      </c>
      <c r="G242" s="23" t="s">
        <v>33</v>
      </c>
      <c r="H242" s="180">
        <v>38.844743770136802</v>
      </c>
      <c r="I242" s="188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:33" x14ac:dyDescent="0.3">
      <c r="A243" s="176" t="s">
        <v>212</v>
      </c>
      <c r="B243" s="176" t="s">
        <v>213</v>
      </c>
      <c r="C243" s="23" t="s">
        <v>17</v>
      </c>
      <c r="D243" s="23" t="s">
        <v>1502</v>
      </c>
      <c r="E243" s="25">
        <v>9078979762</v>
      </c>
      <c r="F243" s="188">
        <v>29487</v>
      </c>
      <c r="G243" s="23" t="s">
        <v>18</v>
      </c>
      <c r="H243" s="180">
        <v>38.664161545423511</v>
      </c>
      <c r="I243" s="188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:33" x14ac:dyDescent="0.3">
      <c r="A244" s="176" t="s">
        <v>639</v>
      </c>
      <c r="B244" s="176" t="s">
        <v>427</v>
      </c>
      <c r="C244" s="23" t="s">
        <v>27</v>
      </c>
      <c r="D244" s="23" t="s">
        <v>1503</v>
      </c>
      <c r="E244" s="25">
        <v>5146801348</v>
      </c>
      <c r="F244" s="188">
        <v>28537</v>
      </c>
      <c r="G244" s="23" t="s">
        <v>10</v>
      </c>
      <c r="H244" s="180">
        <v>36.865080872264777</v>
      </c>
      <c r="I244" s="188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:33" x14ac:dyDescent="0.3">
      <c r="A245" s="176" t="s">
        <v>640</v>
      </c>
      <c r="B245" s="176" t="s">
        <v>641</v>
      </c>
      <c r="C245" s="23" t="s">
        <v>9</v>
      </c>
      <c r="D245" s="23" t="s">
        <v>1504</v>
      </c>
      <c r="E245" s="25">
        <v>3046459263</v>
      </c>
      <c r="F245" s="188">
        <v>30367</v>
      </c>
      <c r="G245" s="23" t="s">
        <v>10</v>
      </c>
      <c r="H245" s="180">
        <v>33.148352030504022</v>
      </c>
      <c r="I245" s="188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:33" x14ac:dyDescent="0.3">
      <c r="A246" s="176" t="s">
        <v>642</v>
      </c>
      <c r="B246" s="176" t="s">
        <v>643</v>
      </c>
      <c r="C246" s="23" t="s">
        <v>9</v>
      </c>
      <c r="D246" s="23" t="s">
        <v>1505</v>
      </c>
      <c r="E246" s="25">
        <v>8144944945</v>
      </c>
      <c r="F246" s="188">
        <v>31933</v>
      </c>
      <c r="G246" s="23" t="s">
        <v>10</v>
      </c>
      <c r="H246" s="180">
        <v>31.485828198045958</v>
      </c>
      <c r="I246" s="188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:33" x14ac:dyDescent="0.3">
      <c r="A247" s="176" t="s">
        <v>644</v>
      </c>
      <c r="B247" s="176" t="s">
        <v>490</v>
      </c>
      <c r="C247" s="23" t="s">
        <v>9</v>
      </c>
      <c r="D247" s="23" t="s">
        <v>1506</v>
      </c>
      <c r="E247" s="25">
        <v>8116456972</v>
      </c>
      <c r="F247" s="188">
        <v>32417</v>
      </c>
      <c r="G247" s="23" t="s">
        <v>10</v>
      </c>
      <c r="H247" s="180">
        <v>33.033142809363149</v>
      </c>
      <c r="I247" s="188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:33" x14ac:dyDescent="0.3">
      <c r="A248" s="176" t="s">
        <v>645</v>
      </c>
      <c r="B248" s="176" t="s">
        <v>646</v>
      </c>
      <c r="C248" s="23" t="s">
        <v>9</v>
      </c>
      <c r="D248" s="23" t="s">
        <v>1507</v>
      </c>
      <c r="E248" s="25">
        <v>8175060466</v>
      </c>
      <c r="F248" s="188">
        <v>32648</v>
      </c>
      <c r="G248" s="23" t="s">
        <v>10</v>
      </c>
      <c r="H248" s="180">
        <v>37.403014981077817</v>
      </c>
      <c r="I248" s="18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:33" x14ac:dyDescent="0.3">
      <c r="A249" s="176" t="s">
        <v>647</v>
      </c>
      <c r="B249" s="176" t="s">
        <v>648</v>
      </c>
      <c r="C249" s="23" t="s">
        <v>26</v>
      </c>
      <c r="D249" s="23" t="s">
        <v>1508</v>
      </c>
      <c r="E249" s="25">
        <v>9176609693</v>
      </c>
      <c r="F249" s="188">
        <v>32663</v>
      </c>
      <c r="G249" s="23" t="s">
        <v>10</v>
      </c>
      <c r="H249" s="180">
        <v>37.158730794656179</v>
      </c>
      <c r="I249" s="188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:33" x14ac:dyDescent="0.3">
      <c r="A250" s="176" t="s">
        <v>649</v>
      </c>
      <c r="B250" s="176" t="s">
        <v>650</v>
      </c>
      <c r="C250" s="23" t="s">
        <v>29</v>
      </c>
      <c r="D250" s="23" t="s">
        <v>1509</v>
      </c>
      <c r="E250" s="25">
        <v>6041276517</v>
      </c>
      <c r="F250" s="188">
        <v>32789</v>
      </c>
      <c r="G250" s="23" t="s">
        <v>18</v>
      </c>
      <c r="H250" s="180">
        <v>31.808436615496113</v>
      </c>
      <c r="I250" s="188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:33" x14ac:dyDescent="0.3">
      <c r="A251" s="176" t="s">
        <v>651</v>
      </c>
      <c r="B251" s="176" t="s">
        <v>509</v>
      </c>
      <c r="C251" s="23" t="s">
        <v>31</v>
      </c>
      <c r="D251" s="23" t="s">
        <v>1510</v>
      </c>
      <c r="E251" s="25">
        <v>8158577225</v>
      </c>
      <c r="F251" s="188">
        <v>30152</v>
      </c>
      <c r="G251" s="23" t="s">
        <v>33</v>
      </c>
      <c r="H251" s="180">
        <v>31.644768327310597</v>
      </c>
      <c r="I251" s="188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:33" x14ac:dyDescent="0.3">
      <c r="A252" s="176" t="s">
        <v>652</v>
      </c>
      <c r="B252" s="176" t="s">
        <v>481</v>
      </c>
      <c r="C252" s="23" t="s">
        <v>28</v>
      </c>
      <c r="D252" s="23" t="s">
        <v>1511</v>
      </c>
      <c r="E252" s="25">
        <v>2065621928</v>
      </c>
      <c r="F252" s="188">
        <v>33961</v>
      </c>
      <c r="G252" s="23" t="s">
        <v>10</v>
      </c>
      <c r="H252" s="180">
        <v>38.024059381364808</v>
      </c>
      <c r="I252" s="188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:33" x14ac:dyDescent="0.3">
      <c r="A253" s="176" t="s">
        <v>653</v>
      </c>
      <c r="B253" s="176" t="s">
        <v>342</v>
      </c>
      <c r="C253" s="23" t="s">
        <v>17</v>
      </c>
      <c r="D253" s="23" t="s">
        <v>1512</v>
      </c>
      <c r="E253" s="25">
        <v>8116100410</v>
      </c>
      <c r="F253" s="188">
        <v>28848</v>
      </c>
      <c r="G253" s="23" t="s">
        <v>6</v>
      </c>
      <c r="H253" s="180">
        <v>31.164569575664487</v>
      </c>
      <c r="I253" s="188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:33" x14ac:dyDescent="0.3">
      <c r="A254" s="176" t="s">
        <v>654</v>
      </c>
      <c r="B254" s="176" t="s">
        <v>322</v>
      </c>
      <c r="C254" s="23" t="s">
        <v>9</v>
      </c>
      <c r="D254" s="23" t="s">
        <v>1513</v>
      </c>
      <c r="E254" s="25">
        <v>8064924736</v>
      </c>
      <c r="F254" s="188">
        <v>30631</v>
      </c>
      <c r="G254" s="23" t="s">
        <v>33</v>
      </c>
      <c r="H254" s="180">
        <v>30.799997201028468</v>
      </c>
      <c r="I254" s="188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:33" x14ac:dyDescent="0.3">
      <c r="A255" s="176" t="s">
        <v>655</v>
      </c>
      <c r="B255" s="176" t="s">
        <v>322</v>
      </c>
      <c r="C255" s="23" t="s">
        <v>9</v>
      </c>
      <c r="D255" s="23" t="s">
        <v>1514</v>
      </c>
      <c r="E255" s="25">
        <v>3033184277</v>
      </c>
      <c r="F255" s="188">
        <v>28311</v>
      </c>
      <c r="G255" s="23" t="s">
        <v>6</v>
      </c>
      <c r="H255" s="180">
        <v>38.144412867122561</v>
      </c>
      <c r="I255" s="188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:33" x14ac:dyDescent="0.3">
      <c r="A256" s="176" t="s">
        <v>656</v>
      </c>
      <c r="B256" s="176" t="s">
        <v>657</v>
      </c>
      <c r="C256" s="23" t="s">
        <v>26</v>
      </c>
      <c r="D256" s="23" t="s">
        <v>1515</v>
      </c>
      <c r="E256" s="25">
        <v>4161658481</v>
      </c>
      <c r="F256" s="188">
        <v>29702</v>
      </c>
      <c r="G256" s="23" t="s">
        <v>10</v>
      </c>
      <c r="H256" s="180">
        <v>30.352481784903912</v>
      </c>
      <c r="I256" s="188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:33" x14ac:dyDescent="0.3">
      <c r="A257" s="176" t="s">
        <v>184</v>
      </c>
      <c r="B257" s="176" t="s">
        <v>351</v>
      </c>
      <c r="C257" s="23" t="s">
        <v>9</v>
      </c>
      <c r="D257" s="23" t="s">
        <v>1516</v>
      </c>
      <c r="E257" s="25">
        <v>5115228292</v>
      </c>
      <c r="F257" s="188">
        <v>32694</v>
      </c>
      <c r="G257" s="23" t="s">
        <v>33</v>
      </c>
      <c r="H257" s="180">
        <v>36.378428961523575</v>
      </c>
      <c r="I257" s="188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:33" x14ac:dyDescent="0.3">
      <c r="A258" s="176" t="s">
        <v>658</v>
      </c>
      <c r="B258" s="176" t="s">
        <v>659</v>
      </c>
      <c r="C258" s="23" t="s">
        <v>40</v>
      </c>
      <c r="D258" s="23" t="s">
        <v>1517</v>
      </c>
      <c r="E258" s="25">
        <v>2184248455</v>
      </c>
      <c r="F258" s="188">
        <v>27859</v>
      </c>
      <c r="G258" s="23" t="s">
        <v>10</v>
      </c>
      <c r="H258" s="180">
        <v>36.874237302846247</v>
      </c>
      <c r="I258" s="18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1:33" x14ac:dyDescent="0.3">
      <c r="A259" s="176" t="s">
        <v>660</v>
      </c>
      <c r="B259" s="176" t="s">
        <v>661</v>
      </c>
      <c r="C259" s="23" t="s">
        <v>23</v>
      </c>
      <c r="D259" s="23" t="s">
        <v>1518</v>
      </c>
      <c r="E259" s="25">
        <v>2125780571</v>
      </c>
      <c r="F259" s="188">
        <v>27858</v>
      </c>
      <c r="G259" s="23" t="s">
        <v>10</v>
      </c>
      <c r="H259" s="180">
        <v>36.933231635221382</v>
      </c>
      <c r="I259" s="188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1:33" x14ac:dyDescent="0.3">
      <c r="A260" s="176" t="s">
        <v>662</v>
      </c>
      <c r="B260" s="176" t="s">
        <v>275</v>
      </c>
      <c r="C260" s="23" t="s">
        <v>30</v>
      </c>
      <c r="D260" s="23" t="s">
        <v>1519</v>
      </c>
      <c r="E260" s="25">
        <v>3181774590</v>
      </c>
      <c r="F260" s="188">
        <v>35747</v>
      </c>
      <c r="G260" s="23" t="s">
        <v>10</v>
      </c>
      <c r="H260" s="180">
        <v>39.171920543653194</v>
      </c>
      <c r="I260" s="188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  <row r="261" spans="1:33" x14ac:dyDescent="0.3">
      <c r="A261" s="176" t="s">
        <v>214</v>
      </c>
      <c r="B261" s="176" t="s">
        <v>215</v>
      </c>
      <c r="C261" s="23" t="s">
        <v>17</v>
      </c>
      <c r="D261" s="23" t="s">
        <v>1520</v>
      </c>
      <c r="E261" s="25">
        <v>9186101454</v>
      </c>
      <c r="F261" s="188">
        <v>29671</v>
      </c>
      <c r="G261" s="23" t="s">
        <v>10</v>
      </c>
      <c r="H261" s="180">
        <v>34.000112773009327</v>
      </c>
      <c r="I261" s="188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</row>
    <row r="262" spans="1:33" x14ac:dyDescent="0.3">
      <c r="A262" s="176" t="s">
        <v>182</v>
      </c>
      <c r="B262" s="176" t="s">
        <v>399</v>
      </c>
      <c r="C262" s="23" t="s">
        <v>40</v>
      </c>
      <c r="D262" s="23" t="s">
        <v>1521</v>
      </c>
      <c r="E262" s="25">
        <v>6158317543</v>
      </c>
      <c r="F262" s="188">
        <v>35708</v>
      </c>
      <c r="G262" s="23" t="s">
        <v>10</v>
      </c>
      <c r="H262" s="180">
        <v>34.699415984618504</v>
      </c>
      <c r="I262" s="188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</row>
    <row r="263" spans="1:33" x14ac:dyDescent="0.3">
      <c r="A263" s="176" t="s">
        <v>663</v>
      </c>
      <c r="B263" s="176" t="s">
        <v>281</v>
      </c>
      <c r="C263" s="23" t="s">
        <v>27</v>
      </c>
      <c r="D263" s="23" t="s">
        <v>1522</v>
      </c>
      <c r="E263" s="25">
        <v>3073919445</v>
      </c>
      <c r="F263" s="188">
        <v>28497</v>
      </c>
      <c r="G263" s="23" t="s">
        <v>10</v>
      </c>
      <c r="H263" s="180">
        <v>30.666633023247506</v>
      </c>
      <c r="I263" s="188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</row>
    <row r="264" spans="1:33" x14ac:dyDescent="0.3">
      <c r="A264" s="176" t="s">
        <v>664</v>
      </c>
      <c r="B264" s="176" t="s">
        <v>423</v>
      </c>
      <c r="C264" s="23" t="s">
        <v>17</v>
      </c>
      <c r="D264" s="23" t="s">
        <v>1523</v>
      </c>
      <c r="E264" s="25">
        <v>3173441810</v>
      </c>
      <c r="F264" s="188">
        <v>29369</v>
      </c>
      <c r="G264" s="23" t="s">
        <v>10</v>
      </c>
      <c r="H264" s="180">
        <v>34.425582014065455</v>
      </c>
      <c r="I264" s="188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</row>
    <row r="265" spans="1:33" x14ac:dyDescent="0.3">
      <c r="A265" s="176" t="s">
        <v>665</v>
      </c>
      <c r="B265" s="176" t="s">
        <v>589</v>
      </c>
      <c r="C265" s="23" t="s">
        <v>9</v>
      </c>
      <c r="D265" s="23" t="s">
        <v>1524</v>
      </c>
      <c r="E265" s="25">
        <v>7112888726</v>
      </c>
      <c r="F265" s="188">
        <v>29787</v>
      </c>
      <c r="G265" s="23" t="s">
        <v>6</v>
      </c>
      <c r="H265" s="180">
        <v>30.030875178135062</v>
      </c>
      <c r="I265" s="188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</row>
    <row r="266" spans="1:33" x14ac:dyDescent="0.3">
      <c r="A266" s="176" t="s">
        <v>666</v>
      </c>
      <c r="B266" s="176" t="s">
        <v>667</v>
      </c>
      <c r="C266" s="23" t="s">
        <v>26</v>
      </c>
      <c r="D266" s="23" t="s">
        <v>1525</v>
      </c>
      <c r="E266" s="25">
        <v>2122520526</v>
      </c>
      <c r="F266" s="188">
        <v>35194</v>
      </c>
      <c r="G266" s="23" t="s">
        <v>10</v>
      </c>
      <c r="H266" s="180">
        <v>33.600001457914999</v>
      </c>
      <c r="I266" s="188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</row>
    <row r="267" spans="1:33" x14ac:dyDescent="0.3">
      <c r="A267" s="176" t="s">
        <v>668</v>
      </c>
      <c r="B267" s="176" t="s">
        <v>669</v>
      </c>
      <c r="C267" s="23" t="s">
        <v>25</v>
      </c>
      <c r="D267" s="23" t="s">
        <v>1526</v>
      </c>
      <c r="E267" s="25">
        <v>4046711140</v>
      </c>
      <c r="F267" s="188">
        <v>28025</v>
      </c>
      <c r="G267" s="23" t="s">
        <v>6</v>
      </c>
      <c r="H267" s="180">
        <v>31.354189771022327</v>
      </c>
      <c r="I267" s="188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</row>
    <row r="268" spans="1:33" x14ac:dyDescent="0.3">
      <c r="A268" s="176" t="s">
        <v>670</v>
      </c>
      <c r="B268" s="176" t="s">
        <v>671</v>
      </c>
      <c r="C268" s="23" t="s">
        <v>36</v>
      </c>
      <c r="D268" s="23" t="s">
        <v>1527</v>
      </c>
      <c r="E268" s="25">
        <v>7042792063</v>
      </c>
      <c r="F268" s="188">
        <v>27920</v>
      </c>
      <c r="G268" s="23" t="s">
        <v>10</v>
      </c>
      <c r="H268" s="180">
        <v>35.056475713172638</v>
      </c>
      <c r="I268" s="18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</row>
    <row r="269" spans="1:33" x14ac:dyDescent="0.3">
      <c r="A269" s="176" t="s">
        <v>672</v>
      </c>
      <c r="B269" s="176" t="s">
        <v>673</v>
      </c>
      <c r="C269" s="23" t="s">
        <v>28</v>
      </c>
      <c r="D269" s="23" t="s">
        <v>1528</v>
      </c>
      <c r="E269" s="25">
        <v>4195478716</v>
      </c>
      <c r="F269" s="188">
        <v>28613</v>
      </c>
      <c r="G269" s="23" t="s">
        <v>6</v>
      </c>
      <c r="H269" s="180">
        <v>30.188076466649203</v>
      </c>
      <c r="I269" s="188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</row>
    <row r="270" spans="1:33" x14ac:dyDescent="0.3">
      <c r="A270" s="176" t="s">
        <v>674</v>
      </c>
      <c r="B270" s="176" t="s">
        <v>509</v>
      </c>
      <c r="C270" s="23" t="s">
        <v>23</v>
      </c>
      <c r="D270" s="23" t="s">
        <v>1529</v>
      </c>
      <c r="E270" s="25">
        <v>7145832994</v>
      </c>
      <c r="F270" s="188">
        <v>28933</v>
      </c>
      <c r="G270" s="23" t="s">
        <v>33</v>
      </c>
      <c r="H270" s="180">
        <v>37.748014320320941</v>
      </c>
      <c r="I270" s="188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1:33" x14ac:dyDescent="0.3">
      <c r="A271" s="176" t="s">
        <v>675</v>
      </c>
      <c r="B271" s="176" t="s">
        <v>310</v>
      </c>
      <c r="C271" s="23" t="s">
        <v>28</v>
      </c>
      <c r="D271" s="23" t="s">
        <v>1530</v>
      </c>
      <c r="E271" s="25">
        <v>8135592950</v>
      </c>
      <c r="F271" s="188">
        <v>29787</v>
      </c>
      <c r="G271" s="23" t="s">
        <v>10</v>
      </c>
      <c r="H271" s="180">
        <v>34.10870761664728</v>
      </c>
      <c r="I271" s="188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</row>
    <row r="272" spans="1:33" x14ac:dyDescent="0.3">
      <c r="A272" s="176" t="s">
        <v>676</v>
      </c>
      <c r="B272" s="176" t="s">
        <v>677</v>
      </c>
      <c r="C272" s="23" t="s">
        <v>5</v>
      </c>
      <c r="D272" s="23" t="s">
        <v>1531</v>
      </c>
      <c r="E272" s="25">
        <v>7147038033</v>
      </c>
      <c r="F272" s="188">
        <v>30496</v>
      </c>
      <c r="G272" s="23" t="s">
        <v>18</v>
      </c>
      <c r="H272" s="180">
        <v>30.898981222260414</v>
      </c>
      <c r="I272" s="188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</row>
    <row r="273" spans="1:33" x14ac:dyDescent="0.3">
      <c r="A273" s="176" t="s">
        <v>678</v>
      </c>
      <c r="B273" s="176" t="s">
        <v>550</v>
      </c>
      <c r="C273" s="23" t="s">
        <v>17</v>
      </c>
      <c r="D273" s="23" t="s">
        <v>1532</v>
      </c>
      <c r="E273" s="25">
        <v>4146259106</v>
      </c>
      <c r="F273" s="188">
        <v>34693</v>
      </c>
      <c r="G273" s="23" t="s">
        <v>6</v>
      </c>
      <c r="H273" s="180">
        <v>36.665229338595417</v>
      </c>
      <c r="I273" s="188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</row>
    <row r="274" spans="1:33" x14ac:dyDescent="0.3">
      <c r="A274" s="176" t="s">
        <v>679</v>
      </c>
      <c r="B274" s="176" t="s">
        <v>680</v>
      </c>
      <c r="C274" s="23" t="s">
        <v>9</v>
      </c>
      <c r="D274" s="23" t="s">
        <v>1533</v>
      </c>
      <c r="E274" s="25">
        <v>2185252544</v>
      </c>
      <c r="F274" s="188">
        <v>29899</v>
      </c>
      <c r="G274" s="23" t="s">
        <v>10</v>
      </c>
      <c r="H274" s="180">
        <v>30.070417719396747</v>
      </c>
      <c r="I274" s="188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</row>
    <row r="275" spans="1:33" x14ac:dyDescent="0.3">
      <c r="A275" s="176" t="s">
        <v>681</v>
      </c>
      <c r="B275" s="176" t="s">
        <v>682</v>
      </c>
      <c r="C275" s="23" t="s">
        <v>5</v>
      </c>
      <c r="D275" s="23" t="s">
        <v>1534</v>
      </c>
      <c r="E275" s="25">
        <v>6044221208</v>
      </c>
      <c r="F275" s="188">
        <v>33339</v>
      </c>
      <c r="G275" s="23" t="s">
        <v>6</v>
      </c>
      <c r="H275" s="180">
        <v>38.209206034191887</v>
      </c>
      <c r="I275" s="188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</row>
    <row r="276" spans="1:33" x14ac:dyDescent="0.3">
      <c r="A276" s="176" t="s">
        <v>683</v>
      </c>
      <c r="B276" s="176" t="s">
        <v>684</v>
      </c>
      <c r="C276" s="23" t="s">
        <v>17</v>
      </c>
      <c r="D276" s="23" t="s">
        <v>1535</v>
      </c>
      <c r="E276" s="25">
        <v>7117682821</v>
      </c>
      <c r="F276" s="188">
        <v>34836</v>
      </c>
      <c r="G276" s="23" t="s">
        <v>10</v>
      </c>
      <c r="H276" s="180">
        <v>33.080362935289379</v>
      </c>
      <c r="I276" s="188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</row>
    <row r="277" spans="1:33" x14ac:dyDescent="0.3">
      <c r="A277" s="176" t="s">
        <v>685</v>
      </c>
      <c r="B277" s="176" t="s">
        <v>281</v>
      </c>
      <c r="C277" s="23" t="s">
        <v>23</v>
      </c>
      <c r="D277" s="23" t="s">
        <v>1536</v>
      </c>
      <c r="E277" s="25">
        <v>3073613559</v>
      </c>
      <c r="F277" s="188">
        <v>30039</v>
      </c>
      <c r="G277" s="23" t="s">
        <v>10</v>
      </c>
      <c r="H277" s="180">
        <v>32.778911399371012</v>
      </c>
      <c r="I277" s="188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</row>
    <row r="278" spans="1:33" x14ac:dyDescent="0.3">
      <c r="A278" s="176" t="s">
        <v>686</v>
      </c>
      <c r="B278" s="176" t="s">
        <v>453</v>
      </c>
      <c r="C278" s="23" t="s">
        <v>17</v>
      </c>
      <c r="D278" s="23" t="s">
        <v>1537</v>
      </c>
      <c r="E278" s="25">
        <v>2062687844</v>
      </c>
      <c r="F278" s="188">
        <v>29379</v>
      </c>
      <c r="G278" s="23" t="s">
        <v>10</v>
      </c>
      <c r="H278" s="180">
        <v>33.143717091393647</v>
      </c>
      <c r="I278" s="18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1:33" x14ac:dyDescent="0.3">
      <c r="A279" s="176" t="s">
        <v>687</v>
      </c>
      <c r="B279" s="176" t="s">
        <v>688</v>
      </c>
      <c r="C279" s="23" t="s">
        <v>9</v>
      </c>
      <c r="D279" s="23" t="s">
        <v>1538</v>
      </c>
      <c r="E279" s="25">
        <v>5128912054</v>
      </c>
      <c r="F279" s="188">
        <v>35625</v>
      </c>
      <c r="G279" s="23" t="s">
        <v>10</v>
      </c>
      <c r="H279" s="180">
        <v>30.059809910294646</v>
      </c>
      <c r="I279" s="188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</row>
    <row r="280" spans="1:33" x14ac:dyDescent="0.3">
      <c r="A280" s="176" t="s">
        <v>689</v>
      </c>
      <c r="B280" s="176" t="s">
        <v>690</v>
      </c>
      <c r="C280" s="23" t="s">
        <v>9</v>
      </c>
      <c r="D280" s="23" t="s">
        <v>1539</v>
      </c>
      <c r="E280" s="25">
        <v>9024626281</v>
      </c>
      <c r="F280" s="188">
        <v>29487</v>
      </c>
      <c r="G280" s="23" t="s">
        <v>10</v>
      </c>
      <c r="H280" s="180">
        <v>31.672280015426448</v>
      </c>
      <c r="I280" s="188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</row>
    <row r="281" spans="1:33" x14ac:dyDescent="0.3">
      <c r="A281" s="176" t="s">
        <v>691</v>
      </c>
      <c r="B281" s="176" t="s">
        <v>344</v>
      </c>
      <c r="C281" s="23" t="s">
        <v>23</v>
      </c>
      <c r="D281" s="23" t="s">
        <v>1540</v>
      </c>
      <c r="E281" s="25">
        <v>7111156902</v>
      </c>
      <c r="F281" s="188">
        <v>28537</v>
      </c>
      <c r="G281" s="23" t="s">
        <v>10</v>
      </c>
      <c r="H281" s="180">
        <v>34.495496802247132</v>
      </c>
      <c r="I281" s="188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</row>
    <row r="282" spans="1:33" x14ac:dyDescent="0.3">
      <c r="A282" s="176" t="s">
        <v>692</v>
      </c>
      <c r="B282" s="176" t="s">
        <v>405</v>
      </c>
      <c r="C282" s="23" t="s">
        <v>43</v>
      </c>
      <c r="D282" s="23" t="s">
        <v>1541</v>
      </c>
      <c r="E282" s="25">
        <v>7042172913</v>
      </c>
      <c r="F282" s="188">
        <v>30367</v>
      </c>
      <c r="G282" s="23" t="s">
        <v>6</v>
      </c>
      <c r="H282" s="180">
        <v>35.352728615035076</v>
      </c>
      <c r="I282" s="188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</row>
    <row r="283" spans="1:33" x14ac:dyDescent="0.3">
      <c r="A283" s="176" t="s">
        <v>693</v>
      </c>
      <c r="B283" s="176" t="s">
        <v>694</v>
      </c>
      <c r="C283" s="23" t="s">
        <v>23</v>
      </c>
      <c r="D283" s="23" t="s">
        <v>1542</v>
      </c>
      <c r="E283" s="25">
        <v>4044249228</v>
      </c>
      <c r="F283" s="188">
        <v>31933</v>
      </c>
      <c r="G283" s="23" t="s">
        <v>10</v>
      </c>
      <c r="H283" s="180">
        <v>35.973405254029984</v>
      </c>
      <c r="I283" s="188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</row>
    <row r="284" spans="1:33" x14ac:dyDescent="0.3">
      <c r="A284" s="176" t="s">
        <v>695</v>
      </c>
      <c r="B284" s="176" t="s">
        <v>395</v>
      </c>
      <c r="C284" s="23" t="s">
        <v>9</v>
      </c>
      <c r="D284" s="23" t="s">
        <v>1543</v>
      </c>
      <c r="E284" s="25">
        <v>7021163627</v>
      </c>
      <c r="F284" s="188">
        <v>32417</v>
      </c>
      <c r="G284" s="23" t="s">
        <v>10</v>
      </c>
      <c r="H284" s="180">
        <v>34.635090095852441</v>
      </c>
      <c r="I284" s="188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</row>
    <row r="285" spans="1:33" x14ac:dyDescent="0.3">
      <c r="A285" s="176" t="s">
        <v>696</v>
      </c>
      <c r="B285" s="176" t="s">
        <v>697</v>
      </c>
      <c r="C285" s="23" t="s">
        <v>9</v>
      </c>
      <c r="D285" s="23" t="s">
        <v>1544</v>
      </c>
      <c r="E285" s="25">
        <v>7063922629</v>
      </c>
      <c r="F285" s="188">
        <v>32648</v>
      </c>
      <c r="G285" s="23" t="s">
        <v>6</v>
      </c>
      <c r="H285" s="180">
        <v>33.923633925763355</v>
      </c>
      <c r="I285" s="188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</row>
    <row r="286" spans="1:33" x14ac:dyDescent="0.3">
      <c r="A286" s="176" t="s">
        <v>698</v>
      </c>
      <c r="B286" s="176" t="s">
        <v>699</v>
      </c>
      <c r="C286" s="23" t="s">
        <v>17</v>
      </c>
      <c r="D286" s="23" t="s">
        <v>1545</v>
      </c>
      <c r="E286" s="25">
        <v>3066422185</v>
      </c>
      <c r="F286" s="188">
        <v>32663</v>
      </c>
      <c r="G286" s="23" t="s">
        <v>10</v>
      </c>
      <c r="H286" s="180">
        <v>35.705559943600797</v>
      </c>
      <c r="I286" s="188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</row>
    <row r="287" spans="1:33" x14ac:dyDescent="0.3">
      <c r="A287" s="176" t="s">
        <v>700</v>
      </c>
      <c r="B287" s="176" t="s">
        <v>453</v>
      </c>
      <c r="C287" s="23" t="s">
        <v>17</v>
      </c>
      <c r="D287" s="23" t="s">
        <v>1546</v>
      </c>
      <c r="E287" s="25">
        <v>2152433774</v>
      </c>
      <c r="F287" s="188">
        <v>32789</v>
      </c>
      <c r="G287" s="23" t="s">
        <v>6</v>
      </c>
      <c r="H287" s="180">
        <v>35.34052492607664</v>
      </c>
      <c r="I287" s="188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1:33" x14ac:dyDescent="0.3">
      <c r="A288" s="176" t="s">
        <v>701</v>
      </c>
      <c r="B288" s="176" t="s">
        <v>506</v>
      </c>
      <c r="C288" s="23" t="s">
        <v>34</v>
      </c>
      <c r="D288" s="23" t="s">
        <v>1547</v>
      </c>
      <c r="E288" s="25">
        <v>9113040292</v>
      </c>
      <c r="F288" s="188">
        <v>32694</v>
      </c>
      <c r="G288" s="23" t="s">
        <v>10</v>
      </c>
      <c r="H288" s="180">
        <v>34.79832646406296</v>
      </c>
      <c r="I288" s="1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</row>
    <row r="289" spans="1:33" x14ac:dyDescent="0.3">
      <c r="A289" s="176" t="s">
        <v>702</v>
      </c>
      <c r="B289" s="176" t="s">
        <v>703</v>
      </c>
      <c r="C289" s="23" t="s">
        <v>38</v>
      </c>
      <c r="D289" s="23" t="s">
        <v>1548</v>
      </c>
      <c r="E289" s="25">
        <v>8085882405</v>
      </c>
      <c r="F289" s="188">
        <v>27859</v>
      </c>
      <c r="G289" s="23" t="s">
        <v>18</v>
      </c>
      <c r="H289" s="180">
        <v>33.439988459035241</v>
      </c>
      <c r="I289" s="188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1:33" x14ac:dyDescent="0.3">
      <c r="A290" s="176" t="s">
        <v>704</v>
      </c>
      <c r="B290" s="176" t="s">
        <v>490</v>
      </c>
      <c r="C290" s="23" t="s">
        <v>17</v>
      </c>
      <c r="D290" s="23" t="s">
        <v>1549</v>
      </c>
      <c r="E290" s="25">
        <v>3031630739</v>
      </c>
      <c r="F290" s="188">
        <v>27858</v>
      </c>
      <c r="G290" s="23" t="s">
        <v>10</v>
      </c>
      <c r="H290" s="180">
        <v>30.147117850309254</v>
      </c>
      <c r="I290" s="188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</row>
    <row r="291" spans="1:33" x14ac:dyDescent="0.3">
      <c r="A291" s="176" t="s">
        <v>705</v>
      </c>
      <c r="B291" s="176" t="s">
        <v>447</v>
      </c>
      <c r="C291" s="23" t="s">
        <v>28</v>
      </c>
      <c r="D291" s="23" t="s">
        <v>1550</v>
      </c>
      <c r="E291" s="25">
        <v>2011277028</v>
      </c>
      <c r="F291" s="188">
        <v>35747</v>
      </c>
      <c r="G291" s="23" t="s">
        <v>10</v>
      </c>
      <c r="H291" s="180">
        <v>36.563927276159987</v>
      </c>
      <c r="I291" s="188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1:33" x14ac:dyDescent="0.3">
      <c r="A292" s="176" t="s">
        <v>205</v>
      </c>
      <c r="B292" s="176" t="s">
        <v>453</v>
      </c>
      <c r="C292" s="23" t="s">
        <v>25</v>
      </c>
      <c r="D292" s="23" t="s">
        <v>1551</v>
      </c>
      <c r="E292" s="25">
        <v>9146999991</v>
      </c>
      <c r="F292" s="188">
        <v>29671</v>
      </c>
      <c r="G292" s="23" t="s">
        <v>6</v>
      </c>
      <c r="H292" s="180">
        <v>38.59588981202095</v>
      </c>
      <c r="I292" s="188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</row>
    <row r="293" spans="1:33" x14ac:dyDescent="0.3">
      <c r="A293" s="176" t="s">
        <v>706</v>
      </c>
      <c r="B293" s="176" t="s">
        <v>351</v>
      </c>
      <c r="C293" s="23" t="s">
        <v>41</v>
      </c>
      <c r="D293" s="23" t="s">
        <v>1552</v>
      </c>
      <c r="E293" s="25">
        <v>6091780498</v>
      </c>
      <c r="F293" s="188">
        <v>35708</v>
      </c>
      <c r="G293" s="23" t="s">
        <v>6</v>
      </c>
      <c r="H293" s="180">
        <v>38.028897421084054</v>
      </c>
      <c r="I293" s="188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1:33" x14ac:dyDescent="0.3">
      <c r="A294" s="176" t="s">
        <v>707</v>
      </c>
      <c r="B294" s="176" t="s">
        <v>708</v>
      </c>
      <c r="C294" s="23" t="s">
        <v>23</v>
      </c>
      <c r="D294" s="23" t="s">
        <v>1523</v>
      </c>
      <c r="E294" s="25">
        <v>5161534053</v>
      </c>
      <c r="F294" s="188">
        <v>28497</v>
      </c>
      <c r="G294" s="23" t="s">
        <v>18</v>
      </c>
      <c r="H294" s="180">
        <v>34.154384267768016</v>
      </c>
      <c r="I294" s="188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</row>
    <row r="295" spans="1:33" x14ac:dyDescent="0.3">
      <c r="A295" s="176" t="s">
        <v>709</v>
      </c>
      <c r="B295" s="176" t="s">
        <v>710</v>
      </c>
      <c r="C295" s="23" t="s">
        <v>23</v>
      </c>
      <c r="D295" s="23" t="s">
        <v>1553</v>
      </c>
      <c r="E295" s="25">
        <v>2121667727</v>
      </c>
      <c r="F295" s="188">
        <v>29369</v>
      </c>
      <c r="G295" s="23" t="s">
        <v>6</v>
      </c>
      <c r="H295" s="180">
        <v>34.562728931851495</v>
      </c>
      <c r="I295" s="188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</row>
    <row r="296" spans="1:33" x14ac:dyDescent="0.3">
      <c r="A296" s="176" t="s">
        <v>711</v>
      </c>
      <c r="B296" s="176" t="s">
        <v>712</v>
      </c>
      <c r="C296" s="23" t="s">
        <v>25</v>
      </c>
      <c r="D296" s="23" t="s">
        <v>1554</v>
      </c>
      <c r="E296" s="25">
        <v>4054483888</v>
      </c>
      <c r="F296" s="188">
        <v>29787</v>
      </c>
      <c r="G296" s="23" t="s">
        <v>10</v>
      </c>
      <c r="H296" s="180">
        <v>33.216867758553605</v>
      </c>
      <c r="I296" s="188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</row>
    <row r="297" spans="1:33" x14ac:dyDescent="0.3">
      <c r="A297" s="176" t="s">
        <v>713</v>
      </c>
      <c r="B297" s="176" t="s">
        <v>714</v>
      </c>
      <c r="C297" s="23" t="s">
        <v>9</v>
      </c>
      <c r="D297" s="23" t="s">
        <v>1555</v>
      </c>
      <c r="E297" s="25">
        <v>4176738901</v>
      </c>
      <c r="F297" s="188">
        <v>35194</v>
      </c>
      <c r="G297" s="23" t="s">
        <v>10</v>
      </c>
      <c r="H297" s="180">
        <v>33.294263305055388</v>
      </c>
      <c r="I297" s="188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</row>
    <row r="298" spans="1:33" x14ac:dyDescent="0.3">
      <c r="A298" s="176" t="s">
        <v>715</v>
      </c>
      <c r="B298" s="176" t="s">
        <v>348</v>
      </c>
      <c r="C298" s="23" t="s">
        <v>30</v>
      </c>
      <c r="D298" s="23" t="s">
        <v>1556</v>
      </c>
      <c r="E298" s="25">
        <v>5194252315</v>
      </c>
      <c r="F298" s="188">
        <v>28025</v>
      </c>
      <c r="G298" s="23" t="s">
        <v>10</v>
      </c>
      <c r="H298" s="180">
        <v>33.476420744526386</v>
      </c>
      <c r="I298" s="18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</row>
    <row r="299" spans="1:33" x14ac:dyDescent="0.3">
      <c r="A299" s="176" t="s">
        <v>716</v>
      </c>
      <c r="B299" s="176" t="s">
        <v>717</v>
      </c>
      <c r="C299" s="23" t="s">
        <v>27</v>
      </c>
      <c r="D299" s="23" t="s">
        <v>1557</v>
      </c>
      <c r="E299" s="25">
        <v>8166674988</v>
      </c>
      <c r="F299" s="188">
        <v>27920</v>
      </c>
      <c r="G299" s="23" t="s">
        <v>18</v>
      </c>
      <c r="H299" s="180">
        <v>35.323086529708917</v>
      </c>
      <c r="I299" s="188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</row>
    <row r="300" spans="1:33" x14ac:dyDescent="0.3">
      <c r="A300" s="176" t="s">
        <v>718</v>
      </c>
      <c r="B300" s="176" t="s">
        <v>719</v>
      </c>
      <c r="C300" s="23" t="s">
        <v>9</v>
      </c>
      <c r="D300" s="23" t="s">
        <v>1558</v>
      </c>
      <c r="E300" s="25">
        <v>9146532463</v>
      </c>
      <c r="F300" s="188">
        <v>28613</v>
      </c>
      <c r="G300" s="23" t="s">
        <v>10</v>
      </c>
      <c r="H300" s="180">
        <v>34.17431788818535</v>
      </c>
      <c r="I300" s="188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</row>
    <row r="301" spans="1:33" x14ac:dyDescent="0.3">
      <c r="A301" s="176" t="s">
        <v>720</v>
      </c>
      <c r="B301" s="176" t="s">
        <v>453</v>
      </c>
      <c r="C301" s="23" t="s">
        <v>35</v>
      </c>
      <c r="D301" s="23" t="s">
        <v>1559</v>
      </c>
      <c r="E301" s="25">
        <v>8134018412</v>
      </c>
      <c r="F301" s="188">
        <v>28933</v>
      </c>
      <c r="G301" s="23" t="s">
        <v>33</v>
      </c>
      <c r="H301" s="180">
        <v>36.007646464278025</v>
      </c>
      <c r="I301" s="188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</row>
    <row r="302" spans="1:33" x14ac:dyDescent="0.3">
      <c r="A302" s="176" t="s">
        <v>721</v>
      </c>
      <c r="B302" s="176" t="s">
        <v>304</v>
      </c>
      <c r="C302" s="23" t="s">
        <v>35</v>
      </c>
      <c r="D302" s="23" t="s">
        <v>1560</v>
      </c>
      <c r="E302" s="25">
        <v>8091384592</v>
      </c>
      <c r="F302" s="188">
        <v>29787</v>
      </c>
      <c r="G302" s="23" t="s">
        <v>18</v>
      </c>
      <c r="H302" s="180">
        <v>35.204074859908573</v>
      </c>
      <c r="I302" s="188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</row>
    <row r="303" spans="1:33" x14ac:dyDescent="0.3">
      <c r="A303" s="176" t="s">
        <v>722</v>
      </c>
      <c r="B303" s="176" t="s">
        <v>680</v>
      </c>
      <c r="C303" s="23" t="s">
        <v>37</v>
      </c>
      <c r="D303" s="23" t="s">
        <v>1561</v>
      </c>
      <c r="E303" s="25">
        <v>5015858234</v>
      </c>
      <c r="F303" s="188">
        <v>30496</v>
      </c>
      <c r="G303" s="23" t="s">
        <v>10</v>
      </c>
      <c r="H303" s="180">
        <v>35.697837936362596</v>
      </c>
      <c r="I303" s="188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</row>
    <row r="304" spans="1:33" x14ac:dyDescent="0.3">
      <c r="A304" s="176" t="s">
        <v>723</v>
      </c>
      <c r="B304" s="176" t="s">
        <v>557</v>
      </c>
      <c r="C304" s="23" t="s">
        <v>5</v>
      </c>
      <c r="D304" s="23" t="s">
        <v>1323</v>
      </c>
      <c r="E304" s="25">
        <v>8174679864</v>
      </c>
      <c r="F304" s="188">
        <v>34693</v>
      </c>
      <c r="G304" s="23" t="s">
        <v>6</v>
      </c>
      <c r="H304" s="180">
        <v>34.106533794785115</v>
      </c>
      <c r="I304" s="188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</row>
    <row r="305" spans="1:33" x14ac:dyDescent="0.3">
      <c r="A305" s="176" t="s">
        <v>173</v>
      </c>
      <c r="B305" s="176" t="s">
        <v>314</v>
      </c>
      <c r="C305" s="23" t="s">
        <v>5</v>
      </c>
      <c r="D305" s="23" t="s">
        <v>1562</v>
      </c>
      <c r="E305" s="25">
        <v>3031683770</v>
      </c>
      <c r="F305" s="188">
        <v>29899</v>
      </c>
      <c r="G305" s="23" t="s">
        <v>18</v>
      </c>
      <c r="H305" s="180">
        <v>30.451373108317956</v>
      </c>
      <c r="I305" s="188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</row>
    <row r="306" spans="1:33" x14ac:dyDescent="0.3">
      <c r="A306" s="176" t="s">
        <v>724</v>
      </c>
      <c r="B306" s="176" t="s">
        <v>725</v>
      </c>
      <c r="C306" s="23" t="s">
        <v>28</v>
      </c>
      <c r="D306" s="23" t="s">
        <v>1563</v>
      </c>
      <c r="E306" s="25">
        <v>9148012440</v>
      </c>
      <c r="F306" s="188">
        <v>33339</v>
      </c>
      <c r="G306" s="23" t="s">
        <v>18</v>
      </c>
      <c r="H306" s="180">
        <v>34.078284387539611</v>
      </c>
      <c r="I306" s="188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</row>
    <row r="307" spans="1:33" x14ac:dyDescent="0.3">
      <c r="A307" s="176" t="s">
        <v>726</v>
      </c>
      <c r="B307" s="176" t="s">
        <v>727</v>
      </c>
      <c r="C307" s="23" t="s">
        <v>17</v>
      </c>
      <c r="D307" s="23" t="s">
        <v>1564</v>
      </c>
      <c r="E307" s="25">
        <v>8054375399</v>
      </c>
      <c r="F307" s="188">
        <v>34836</v>
      </c>
      <c r="G307" s="23" t="s">
        <v>6</v>
      </c>
      <c r="H307" s="180">
        <v>37.052604980934937</v>
      </c>
      <c r="I307" s="188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</row>
    <row r="308" spans="1:33" x14ac:dyDescent="0.3">
      <c r="A308" s="176" t="s">
        <v>728</v>
      </c>
      <c r="B308" s="176" t="s">
        <v>729</v>
      </c>
      <c r="C308" s="23" t="s">
        <v>39</v>
      </c>
      <c r="D308" s="23" t="s">
        <v>1565</v>
      </c>
      <c r="E308" s="25">
        <v>2152683895</v>
      </c>
      <c r="F308" s="188">
        <v>30039</v>
      </c>
      <c r="G308" s="23" t="s">
        <v>6</v>
      </c>
      <c r="H308" s="180">
        <v>30.021015184752926</v>
      </c>
      <c r="I308" s="18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</row>
    <row r="309" spans="1:33" x14ac:dyDescent="0.3">
      <c r="A309" s="176" t="s">
        <v>730</v>
      </c>
      <c r="B309" s="176" t="s">
        <v>684</v>
      </c>
      <c r="C309" s="23" t="s">
        <v>17</v>
      </c>
      <c r="D309" s="23" t="s">
        <v>1511</v>
      </c>
      <c r="E309" s="25">
        <v>2093557946</v>
      </c>
      <c r="F309" s="188">
        <v>29379</v>
      </c>
      <c r="G309" s="23" t="s">
        <v>10</v>
      </c>
      <c r="H309" s="180">
        <v>36.746630942653553</v>
      </c>
      <c r="I309" s="188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</row>
    <row r="310" spans="1:33" x14ac:dyDescent="0.3">
      <c r="A310" s="176" t="s">
        <v>731</v>
      </c>
      <c r="B310" s="176" t="s">
        <v>732</v>
      </c>
      <c r="C310" s="23" t="s">
        <v>25</v>
      </c>
      <c r="D310" s="23" t="s">
        <v>1566</v>
      </c>
      <c r="E310" s="25">
        <v>4136410575</v>
      </c>
      <c r="F310" s="188">
        <v>35625</v>
      </c>
      <c r="G310" s="23" t="s">
        <v>33</v>
      </c>
      <c r="H310" s="180">
        <v>39.973512570901974</v>
      </c>
      <c r="I310" s="188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</row>
    <row r="311" spans="1:33" x14ac:dyDescent="0.3">
      <c r="A311" s="176" t="s">
        <v>733</v>
      </c>
      <c r="B311" s="176" t="s">
        <v>734</v>
      </c>
      <c r="C311" s="23" t="s">
        <v>23</v>
      </c>
      <c r="D311" s="23" t="s">
        <v>1567</v>
      </c>
      <c r="E311" s="25">
        <v>6111220758</v>
      </c>
      <c r="F311" s="188">
        <v>29487</v>
      </c>
      <c r="G311" s="23" t="s">
        <v>18</v>
      </c>
      <c r="H311" s="180">
        <v>37.629731249560749</v>
      </c>
      <c r="I311" s="188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1:33" x14ac:dyDescent="0.3">
      <c r="A312" s="176" t="s">
        <v>735</v>
      </c>
      <c r="B312" s="176" t="s">
        <v>736</v>
      </c>
      <c r="C312" s="23" t="s">
        <v>17</v>
      </c>
      <c r="D312" s="23" t="s">
        <v>1568</v>
      </c>
      <c r="E312" s="25">
        <v>2198159919</v>
      </c>
      <c r="F312" s="188">
        <v>28537</v>
      </c>
      <c r="G312" s="23" t="s">
        <v>10</v>
      </c>
      <c r="H312" s="180">
        <v>32.358791502463312</v>
      </c>
      <c r="I312" s="188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1:33" x14ac:dyDescent="0.3">
      <c r="A313" s="176" t="s">
        <v>737</v>
      </c>
      <c r="B313" s="176" t="s">
        <v>738</v>
      </c>
      <c r="C313" s="23" t="s">
        <v>25</v>
      </c>
      <c r="D313" s="23" t="s">
        <v>1569</v>
      </c>
      <c r="E313" s="25">
        <v>2074383168</v>
      </c>
      <c r="F313" s="188">
        <v>30367</v>
      </c>
      <c r="G313" s="23" t="s">
        <v>33</v>
      </c>
      <c r="H313" s="180">
        <v>35.827035375845881</v>
      </c>
      <c r="I313" s="188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1:33" x14ac:dyDescent="0.3">
      <c r="A314" s="176" t="s">
        <v>167</v>
      </c>
      <c r="B314" s="176" t="s">
        <v>739</v>
      </c>
      <c r="C314" s="23" t="s">
        <v>17</v>
      </c>
      <c r="D314" s="23" t="s">
        <v>1570</v>
      </c>
      <c r="E314" s="25">
        <v>3154264889</v>
      </c>
      <c r="F314" s="188">
        <v>31933</v>
      </c>
      <c r="G314" s="23" t="s">
        <v>6</v>
      </c>
      <c r="H314" s="180">
        <v>37.093568639434899</v>
      </c>
      <c r="I314" s="188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1:33" x14ac:dyDescent="0.3">
      <c r="A315" s="176" t="s">
        <v>740</v>
      </c>
      <c r="B315" s="176" t="s">
        <v>690</v>
      </c>
      <c r="C315" s="23" t="s">
        <v>27</v>
      </c>
      <c r="D315" s="23" t="s">
        <v>1571</v>
      </c>
      <c r="E315" s="25">
        <v>3171569304</v>
      </c>
      <c r="F315" s="188">
        <v>32417</v>
      </c>
      <c r="G315" s="23" t="s">
        <v>10</v>
      </c>
      <c r="H315" s="180">
        <v>36.122281144305362</v>
      </c>
      <c r="I315" s="188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1:33" x14ac:dyDescent="0.3">
      <c r="A316" s="176" t="s">
        <v>181</v>
      </c>
      <c r="B316" s="176" t="s">
        <v>310</v>
      </c>
      <c r="C316" s="23" t="s">
        <v>23</v>
      </c>
      <c r="D316" s="23" t="s">
        <v>1572</v>
      </c>
      <c r="E316" s="25">
        <v>7017764351</v>
      </c>
      <c r="F316" s="188">
        <v>32648</v>
      </c>
      <c r="G316" s="23" t="s">
        <v>10</v>
      </c>
      <c r="H316" s="180">
        <v>38.655488682372777</v>
      </c>
      <c r="I316" s="188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1:33" x14ac:dyDescent="0.3">
      <c r="A317" s="176" t="s">
        <v>741</v>
      </c>
      <c r="B317" s="176" t="s">
        <v>447</v>
      </c>
      <c r="C317" s="23" t="s">
        <v>26</v>
      </c>
      <c r="D317" s="23" t="s">
        <v>1573</v>
      </c>
      <c r="E317" s="25">
        <v>9181308831</v>
      </c>
      <c r="F317" s="188">
        <v>32663</v>
      </c>
      <c r="G317" s="23" t="s">
        <v>6</v>
      </c>
      <c r="H317" s="180">
        <v>37.908880205039267</v>
      </c>
      <c r="I317" s="188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1:33" x14ac:dyDescent="0.3">
      <c r="A318" s="176" t="s">
        <v>742</v>
      </c>
      <c r="B318" s="176" t="s">
        <v>405</v>
      </c>
      <c r="C318" s="23" t="s">
        <v>27</v>
      </c>
      <c r="D318" s="23" t="s">
        <v>1574</v>
      </c>
      <c r="E318" s="25">
        <v>2016354278</v>
      </c>
      <c r="F318" s="188">
        <v>32789</v>
      </c>
      <c r="G318" s="23" t="s">
        <v>10</v>
      </c>
      <c r="H318" s="180">
        <v>30.637253629723634</v>
      </c>
      <c r="I318" s="18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1:33" x14ac:dyDescent="0.3">
      <c r="A319" s="176" t="s">
        <v>743</v>
      </c>
      <c r="B319" s="176" t="s">
        <v>744</v>
      </c>
      <c r="C319" s="23" t="s">
        <v>25</v>
      </c>
      <c r="D319" s="23" t="s">
        <v>1575</v>
      </c>
      <c r="E319" s="25">
        <v>8023302808</v>
      </c>
      <c r="F319" s="188">
        <v>30152</v>
      </c>
      <c r="G319" s="23" t="s">
        <v>10</v>
      </c>
      <c r="H319" s="180">
        <v>34.368730949217912</v>
      </c>
      <c r="I319" s="188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1:33" x14ac:dyDescent="0.3">
      <c r="A320" s="176" t="s">
        <v>210</v>
      </c>
      <c r="B320" s="176" t="s">
        <v>211</v>
      </c>
      <c r="C320" s="23" t="s">
        <v>5</v>
      </c>
      <c r="D320" s="23" t="s">
        <v>1576</v>
      </c>
      <c r="E320" s="25">
        <v>5013748373</v>
      </c>
      <c r="F320" s="188">
        <v>33961</v>
      </c>
      <c r="G320" s="23" t="s">
        <v>10</v>
      </c>
      <c r="H320" s="180">
        <v>32.06424850155458</v>
      </c>
      <c r="I320" s="188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1:33" x14ac:dyDescent="0.3">
      <c r="A321" s="176" t="s">
        <v>745</v>
      </c>
      <c r="B321" s="176" t="s">
        <v>304</v>
      </c>
      <c r="C321" s="23" t="s">
        <v>40</v>
      </c>
      <c r="D321" s="23" t="s">
        <v>1577</v>
      </c>
      <c r="E321" s="25">
        <v>3056345909</v>
      </c>
      <c r="F321" s="188">
        <v>28848</v>
      </c>
      <c r="G321" s="23" t="s">
        <v>6</v>
      </c>
      <c r="H321" s="180">
        <v>36.050490223845188</v>
      </c>
      <c r="I321" s="188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1:33" x14ac:dyDescent="0.3">
      <c r="A322" s="176" t="s">
        <v>746</v>
      </c>
      <c r="B322" s="176" t="s">
        <v>747</v>
      </c>
      <c r="C322" s="23" t="s">
        <v>25</v>
      </c>
      <c r="D322" s="23" t="s">
        <v>1578</v>
      </c>
      <c r="E322" s="25">
        <v>6177446192</v>
      </c>
      <c r="F322" s="188">
        <v>30631</v>
      </c>
      <c r="G322" s="23" t="s">
        <v>10</v>
      </c>
      <c r="H322" s="180">
        <v>33.528508190131461</v>
      </c>
      <c r="I322" s="188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</row>
    <row r="323" spans="1:33" x14ac:dyDescent="0.3">
      <c r="A323" s="176" t="s">
        <v>237</v>
      </c>
      <c r="B323" s="176" t="s">
        <v>238</v>
      </c>
      <c r="C323" s="23" t="s">
        <v>23</v>
      </c>
      <c r="D323" s="23" t="s">
        <v>1570</v>
      </c>
      <c r="E323" s="25">
        <v>9114627771</v>
      </c>
      <c r="F323" s="188">
        <v>28311</v>
      </c>
      <c r="G323" s="23" t="s">
        <v>6</v>
      </c>
      <c r="H323" s="180">
        <v>36.620390605482591</v>
      </c>
      <c r="I323" s="188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</row>
    <row r="324" spans="1:33" x14ac:dyDescent="0.3">
      <c r="A324" s="176" t="s">
        <v>748</v>
      </c>
      <c r="B324" s="176" t="s">
        <v>749</v>
      </c>
      <c r="C324" s="23" t="s">
        <v>31</v>
      </c>
      <c r="D324" s="23" t="s">
        <v>1579</v>
      </c>
      <c r="E324" s="25">
        <v>7088252392</v>
      </c>
      <c r="F324" s="188">
        <v>29702</v>
      </c>
      <c r="G324" s="23" t="s">
        <v>18</v>
      </c>
      <c r="H324" s="180">
        <v>35.573322645504987</v>
      </c>
      <c r="I324" s="188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</row>
    <row r="325" spans="1:33" x14ac:dyDescent="0.3">
      <c r="A325" s="176" t="s">
        <v>750</v>
      </c>
      <c r="B325" s="176" t="s">
        <v>751</v>
      </c>
      <c r="C325" s="23" t="s">
        <v>27</v>
      </c>
      <c r="D325" s="23" t="s">
        <v>1580</v>
      </c>
      <c r="E325" s="25">
        <v>3155915044</v>
      </c>
      <c r="F325" s="188">
        <v>32694</v>
      </c>
      <c r="G325" s="23" t="s">
        <v>10</v>
      </c>
      <c r="H325" s="180">
        <v>34.276393076400787</v>
      </c>
      <c r="I325" s="188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</row>
    <row r="326" spans="1:33" x14ac:dyDescent="0.3">
      <c r="A326" s="176" t="s">
        <v>752</v>
      </c>
      <c r="B326" s="176" t="s">
        <v>753</v>
      </c>
      <c r="C326" s="23" t="s">
        <v>28</v>
      </c>
      <c r="D326" s="23" t="s">
        <v>1581</v>
      </c>
      <c r="E326" s="25">
        <v>7128624601</v>
      </c>
      <c r="F326" s="188">
        <v>27859</v>
      </c>
      <c r="G326" s="23" t="s">
        <v>10</v>
      </c>
      <c r="H326" s="180">
        <v>38.622073359600719</v>
      </c>
      <c r="I326" s="188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</row>
    <row r="327" spans="1:33" x14ac:dyDescent="0.3">
      <c r="A327" s="176" t="s">
        <v>754</v>
      </c>
      <c r="B327" s="176" t="s">
        <v>755</v>
      </c>
      <c r="C327" s="23" t="s">
        <v>9</v>
      </c>
      <c r="D327" s="23" t="s">
        <v>1582</v>
      </c>
      <c r="E327" s="25">
        <v>7037126482</v>
      </c>
      <c r="F327" s="188">
        <v>27858</v>
      </c>
      <c r="G327" s="23" t="s">
        <v>10</v>
      </c>
      <c r="H327" s="180">
        <v>38.173280775510449</v>
      </c>
      <c r="I327" s="188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</row>
    <row r="328" spans="1:33" x14ac:dyDescent="0.3">
      <c r="A328" s="176" t="s">
        <v>756</v>
      </c>
      <c r="B328" s="176" t="s">
        <v>757</v>
      </c>
      <c r="C328" s="23" t="s">
        <v>25</v>
      </c>
      <c r="D328" s="23" t="s">
        <v>1583</v>
      </c>
      <c r="E328" s="25">
        <v>4084663056</v>
      </c>
      <c r="F328" s="188">
        <v>35747</v>
      </c>
      <c r="G328" s="23" t="s">
        <v>10</v>
      </c>
      <c r="H328" s="180">
        <v>36.077039885271049</v>
      </c>
      <c r="I328" s="18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</row>
    <row r="329" spans="1:33" x14ac:dyDescent="0.3">
      <c r="A329" s="176" t="s">
        <v>758</v>
      </c>
      <c r="B329" s="176" t="s">
        <v>275</v>
      </c>
      <c r="C329" s="23" t="s">
        <v>28</v>
      </c>
      <c r="D329" s="23" t="s">
        <v>1584</v>
      </c>
      <c r="E329" s="25">
        <v>4022917217</v>
      </c>
      <c r="F329" s="188">
        <v>29671</v>
      </c>
      <c r="G329" s="23" t="s">
        <v>10</v>
      </c>
      <c r="H329" s="180">
        <v>31.39463039532378</v>
      </c>
      <c r="I329" s="188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</row>
    <row r="330" spans="1:33" x14ac:dyDescent="0.3">
      <c r="A330" s="176" t="s">
        <v>759</v>
      </c>
      <c r="B330" s="176" t="s">
        <v>760</v>
      </c>
      <c r="C330" s="23" t="s">
        <v>28</v>
      </c>
      <c r="D330" s="23" t="s">
        <v>1585</v>
      </c>
      <c r="E330" s="25">
        <v>4172511732</v>
      </c>
      <c r="F330" s="188">
        <v>35708</v>
      </c>
      <c r="G330" s="23" t="s">
        <v>10</v>
      </c>
      <c r="H330" s="180">
        <v>39.807775419745994</v>
      </c>
      <c r="I330" s="188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</row>
    <row r="331" spans="1:33" x14ac:dyDescent="0.3">
      <c r="A331" s="176" t="s">
        <v>761</v>
      </c>
      <c r="B331" s="176" t="s">
        <v>271</v>
      </c>
      <c r="C331" s="23" t="s">
        <v>25</v>
      </c>
      <c r="D331" s="23" t="s">
        <v>1586</v>
      </c>
      <c r="E331" s="25">
        <v>2186865606</v>
      </c>
      <c r="F331" s="188">
        <v>28497</v>
      </c>
      <c r="G331" s="23" t="s">
        <v>18</v>
      </c>
      <c r="H331" s="180">
        <v>33.098917763886739</v>
      </c>
      <c r="I331" s="188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</row>
    <row r="332" spans="1:33" x14ac:dyDescent="0.3">
      <c r="A332" s="176" t="s">
        <v>762</v>
      </c>
      <c r="B332" s="176" t="s">
        <v>468</v>
      </c>
      <c r="C332" s="23" t="s">
        <v>17</v>
      </c>
      <c r="D332" s="23" t="s">
        <v>1587</v>
      </c>
      <c r="E332" s="25">
        <v>9146052545</v>
      </c>
      <c r="F332" s="188">
        <v>29369</v>
      </c>
      <c r="G332" s="23" t="s">
        <v>18</v>
      </c>
      <c r="H332" s="180">
        <v>30.797059264676438</v>
      </c>
      <c r="I332" s="188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</row>
    <row r="333" spans="1:33" x14ac:dyDescent="0.3">
      <c r="A333" s="176" t="s">
        <v>763</v>
      </c>
      <c r="B333" s="176" t="s">
        <v>764</v>
      </c>
      <c r="C333" s="23" t="s">
        <v>25</v>
      </c>
      <c r="D333" s="23" t="s">
        <v>1588</v>
      </c>
      <c r="E333" s="25">
        <v>5126756847</v>
      </c>
      <c r="F333" s="188">
        <v>29787</v>
      </c>
      <c r="G333" s="23" t="s">
        <v>10</v>
      </c>
      <c r="H333" s="180">
        <v>38.765872172170816</v>
      </c>
      <c r="I333" s="188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</row>
    <row r="334" spans="1:33" x14ac:dyDescent="0.3">
      <c r="A334" s="176" t="s">
        <v>765</v>
      </c>
      <c r="B334" s="176" t="s">
        <v>766</v>
      </c>
      <c r="C334" s="23" t="s">
        <v>17</v>
      </c>
      <c r="D334" s="23" t="s">
        <v>1589</v>
      </c>
      <c r="E334" s="25">
        <v>2076798743</v>
      </c>
      <c r="F334" s="188">
        <v>35194</v>
      </c>
      <c r="G334" s="23" t="s">
        <v>10</v>
      </c>
      <c r="H334" s="180">
        <v>34.123638709755653</v>
      </c>
      <c r="I334" s="188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</row>
    <row r="335" spans="1:33" x14ac:dyDescent="0.3">
      <c r="A335" s="176" t="s">
        <v>239</v>
      </c>
      <c r="B335" s="176" t="s">
        <v>240</v>
      </c>
      <c r="C335" s="23" t="s">
        <v>9</v>
      </c>
      <c r="D335" s="23" t="s">
        <v>1590</v>
      </c>
      <c r="E335" s="25">
        <v>3013938131</v>
      </c>
      <c r="F335" s="188">
        <v>28025</v>
      </c>
      <c r="G335" s="23" t="s">
        <v>6</v>
      </c>
      <c r="H335" s="180">
        <v>37.56501736623715</v>
      </c>
      <c r="I335" s="188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</row>
    <row r="336" spans="1:33" x14ac:dyDescent="0.3">
      <c r="A336" s="176" t="s">
        <v>767</v>
      </c>
      <c r="B336" s="176" t="s">
        <v>768</v>
      </c>
      <c r="C336" s="23" t="s">
        <v>9</v>
      </c>
      <c r="D336" s="23" t="s">
        <v>1591</v>
      </c>
      <c r="E336" s="25">
        <v>9044877123</v>
      </c>
      <c r="F336" s="188">
        <v>27920</v>
      </c>
      <c r="G336" s="23" t="s">
        <v>6</v>
      </c>
      <c r="H336" s="180">
        <v>30.24400751484017</v>
      </c>
      <c r="I336" s="188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</row>
    <row r="337" spans="1:33" x14ac:dyDescent="0.3">
      <c r="A337" s="176" t="s">
        <v>769</v>
      </c>
      <c r="B337" s="176" t="s">
        <v>310</v>
      </c>
      <c r="C337" s="23" t="s">
        <v>5</v>
      </c>
      <c r="D337" s="23" t="s">
        <v>1592</v>
      </c>
      <c r="E337" s="25">
        <v>9013788281</v>
      </c>
      <c r="F337" s="188">
        <v>28613</v>
      </c>
      <c r="G337" s="23" t="s">
        <v>6</v>
      </c>
      <c r="H337" s="180">
        <v>31.30123691252124</v>
      </c>
      <c r="I337" s="188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</row>
    <row r="338" spans="1:33" x14ac:dyDescent="0.3">
      <c r="A338" s="176" t="s">
        <v>770</v>
      </c>
      <c r="B338" s="176" t="s">
        <v>771</v>
      </c>
      <c r="C338" s="23" t="s">
        <v>25</v>
      </c>
      <c r="D338" s="23" t="s">
        <v>1593</v>
      </c>
      <c r="E338" s="25">
        <v>3173957018</v>
      </c>
      <c r="F338" s="188">
        <v>28933</v>
      </c>
      <c r="G338" s="23" t="s">
        <v>6</v>
      </c>
      <c r="H338" s="180">
        <v>30.966048144701261</v>
      </c>
      <c r="I338" s="18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</row>
    <row r="339" spans="1:33" x14ac:dyDescent="0.3">
      <c r="A339" s="176" t="s">
        <v>772</v>
      </c>
      <c r="B339" s="176" t="s">
        <v>773</v>
      </c>
      <c r="C339" s="23" t="s">
        <v>5</v>
      </c>
      <c r="D339" s="23" t="s">
        <v>1594</v>
      </c>
      <c r="E339" s="25">
        <v>4173274978</v>
      </c>
      <c r="F339" s="188">
        <v>29787</v>
      </c>
      <c r="G339" s="23" t="s">
        <v>18</v>
      </c>
      <c r="H339" s="180">
        <v>32.535286542812912</v>
      </c>
      <c r="I339" s="188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</row>
    <row r="340" spans="1:33" x14ac:dyDescent="0.3">
      <c r="A340" s="176" t="s">
        <v>774</v>
      </c>
      <c r="B340" s="176" t="s">
        <v>775</v>
      </c>
      <c r="C340" s="23" t="s">
        <v>9</v>
      </c>
      <c r="D340" s="23" t="s">
        <v>1595</v>
      </c>
      <c r="E340" s="25">
        <v>5124138160</v>
      </c>
      <c r="F340" s="188">
        <v>30496</v>
      </c>
      <c r="G340" s="23" t="s">
        <v>6</v>
      </c>
      <c r="H340" s="180">
        <v>39.227427952687187</v>
      </c>
      <c r="I340" s="188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</row>
    <row r="341" spans="1:33" x14ac:dyDescent="0.3">
      <c r="A341" s="176" t="s">
        <v>776</v>
      </c>
      <c r="B341" s="176" t="s">
        <v>292</v>
      </c>
      <c r="C341" s="23" t="s">
        <v>5</v>
      </c>
      <c r="D341" s="23" t="s">
        <v>1596</v>
      </c>
      <c r="E341" s="25">
        <v>3124106437</v>
      </c>
      <c r="F341" s="188">
        <v>34693</v>
      </c>
      <c r="G341" s="23" t="s">
        <v>18</v>
      </c>
      <c r="H341" s="180">
        <v>38.800319182648352</v>
      </c>
      <c r="I341" s="188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</row>
    <row r="342" spans="1:33" x14ac:dyDescent="0.3">
      <c r="A342" s="176" t="s">
        <v>777</v>
      </c>
      <c r="B342" s="176" t="s">
        <v>285</v>
      </c>
      <c r="C342" s="23" t="s">
        <v>9</v>
      </c>
      <c r="D342" s="23" t="s">
        <v>1597</v>
      </c>
      <c r="E342" s="25">
        <v>7168439277</v>
      </c>
      <c r="F342" s="188">
        <v>29899</v>
      </c>
      <c r="G342" s="23" t="s">
        <v>10</v>
      </c>
      <c r="H342" s="180">
        <v>38.877175527297041</v>
      </c>
      <c r="I342" s="188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33" x14ac:dyDescent="0.3">
      <c r="A343" s="176" t="s">
        <v>778</v>
      </c>
      <c r="B343" s="176" t="s">
        <v>391</v>
      </c>
      <c r="C343" s="23" t="s">
        <v>35</v>
      </c>
      <c r="D343" s="23" t="s">
        <v>1598</v>
      </c>
      <c r="E343" s="25">
        <v>3142939413</v>
      </c>
      <c r="F343" s="188">
        <v>33339</v>
      </c>
      <c r="G343" s="23" t="s">
        <v>10</v>
      </c>
      <c r="H343" s="180">
        <v>36.693772101286072</v>
      </c>
      <c r="I343" s="188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33" x14ac:dyDescent="0.3">
      <c r="A344" s="176" t="s">
        <v>779</v>
      </c>
      <c r="B344" s="176" t="s">
        <v>641</v>
      </c>
      <c r="C344" s="23" t="s">
        <v>5</v>
      </c>
      <c r="D344" s="23" t="s">
        <v>1599</v>
      </c>
      <c r="E344" s="25">
        <v>3061777060</v>
      </c>
      <c r="F344" s="188">
        <v>34836</v>
      </c>
      <c r="G344" s="23" t="s">
        <v>6</v>
      </c>
      <c r="H344" s="180">
        <v>35.100708963473053</v>
      </c>
      <c r="I344" s="188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33" x14ac:dyDescent="0.3">
      <c r="A345" s="176" t="s">
        <v>780</v>
      </c>
      <c r="B345" s="176" t="s">
        <v>781</v>
      </c>
      <c r="C345" s="23" t="s">
        <v>9</v>
      </c>
      <c r="D345" s="23" t="s">
        <v>1600</v>
      </c>
      <c r="E345" s="25">
        <v>3022881600</v>
      </c>
      <c r="F345" s="188">
        <v>30039</v>
      </c>
      <c r="G345" s="23" t="s">
        <v>33</v>
      </c>
      <c r="H345" s="180">
        <v>31.157177095916555</v>
      </c>
      <c r="I345" s="188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33" x14ac:dyDescent="0.3">
      <c r="A346" s="176" t="s">
        <v>782</v>
      </c>
      <c r="B346" s="176" t="s">
        <v>783</v>
      </c>
      <c r="C346" s="23" t="s">
        <v>23</v>
      </c>
      <c r="D346" s="23" t="s">
        <v>1601</v>
      </c>
      <c r="E346" s="25">
        <v>7045317859</v>
      </c>
      <c r="F346" s="188">
        <v>29379</v>
      </c>
      <c r="G346" s="23" t="s">
        <v>10</v>
      </c>
      <c r="H346" s="180">
        <v>30.243182016817485</v>
      </c>
      <c r="I346" s="188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33" x14ac:dyDescent="0.3">
      <c r="A347" s="176" t="s">
        <v>784</v>
      </c>
      <c r="B347" s="176" t="s">
        <v>785</v>
      </c>
      <c r="C347" s="23" t="s">
        <v>9</v>
      </c>
      <c r="D347" s="23" t="s">
        <v>1602</v>
      </c>
      <c r="E347" s="25">
        <v>5183383207</v>
      </c>
      <c r="F347" s="188">
        <v>35625</v>
      </c>
      <c r="G347" s="23" t="s">
        <v>18</v>
      </c>
      <c r="H347" s="180">
        <v>30.226367605512031</v>
      </c>
      <c r="I347" s="188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33" x14ac:dyDescent="0.3">
      <c r="A348" s="176" t="s">
        <v>786</v>
      </c>
      <c r="B348" s="176" t="s">
        <v>490</v>
      </c>
      <c r="C348" s="23" t="s">
        <v>5</v>
      </c>
      <c r="D348" s="23" t="s">
        <v>1603</v>
      </c>
      <c r="E348" s="25">
        <v>9163820613</v>
      </c>
      <c r="F348" s="188">
        <v>29487</v>
      </c>
      <c r="G348" s="23" t="s">
        <v>6</v>
      </c>
      <c r="H348" s="180">
        <v>32.286818758804642</v>
      </c>
      <c r="I348" s="18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33" x14ac:dyDescent="0.3">
      <c r="A349" s="176" t="s">
        <v>787</v>
      </c>
      <c r="B349" s="176" t="s">
        <v>788</v>
      </c>
      <c r="C349" s="23" t="s">
        <v>25</v>
      </c>
      <c r="D349" s="23" t="s">
        <v>1604</v>
      </c>
      <c r="E349" s="25">
        <v>7078449868</v>
      </c>
      <c r="F349" s="188">
        <v>28537</v>
      </c>
      <c r="G349" s="23" t="s">
        <v>10</v>
      </c>
      <c r="H349" s="180">
        <v>35.111454864699027</v>
      </c>
      <c r="I349" s="188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33" x14ac:dyDescent="0.3">
      <c r="A350" s="176" t="s">
        <v>789</v>
      </c>
      <c r="B350" s="176" t="s">
        <v>790</v>
      </c>
      <c r="C350" s="23" t="s">
        <v>23</v>
      </c>
      <c r="D350" s="23" t="s">
        <v>1605</v>
      </c>
      <c r="E350" s="25">
        <v>9128642893</v>
      </c>
      <c r="F350" s="188">
        <v>30367</v>
      </c>
      <c r="G350" s="23" t="s">
        <v>10</v>
      </c>
      <c r="H350" s="180">
        <v>36.983418988348852</v>
      </c>
      <c r="I350" s="188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33" x14ac:dyDescent="0.3">
      <c r="A351" s="176" t="s">
        <v>791</v>
      </c>
      <c r="B351" s="176" t="s">
        <v>275</v>
      </c>
      <c r="C351" s="23" t="s">
        <v>9</v>
      </c>
      <c r="D351" s="23" t="s">
        <v>1606</v>
      </c>
      <c r="E351" s="25">
        <v>6125236892</v>
      </c>
      <c r="F351" s="188">
        <v>31933</v>
      </c>
      <c r="G351" s="23" t="s">
        <v>6</v>
      </c>
      <c r="H351" s="180">
        <v>33.477426074621576</v>
      </c>
      <c r="I351" s="188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33" x14ac:dyDescent="0.3">
      <c r="A352" s="176" t="s">
        <v>792</v>
      </c>
      <c r="B352" s="176" t="s">
        <v>793</v>
      </c>
      <c r="C352" s="23" t="s">
        <v>28</v>
      </c>
      <c r="D352" s="23" t="s">
        <v>1607</v>
      </c>
      <c r="E352" s="25">
        <v>6115043141</v>
      </c>
      <c r="F352" s="188">
        <v>32417</v>
      </c>
      <c r="G352" s="23" t="s">
        <v>6</v>
      </c>
      <c r="H352" s="180">
        <v>38.243490743077075</v>
      </c>
      <c r="I352" s="188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 x14ac:dyDescent="0.3">
      <c r="A353" s="176" t="s">
        <v>794</v>
      </c>
      <c r="B353" s="176" t="s">
        <v>795</v>
      </c>
      <c r="C353" s="23" t="s">
        <v>30</v>
      </c>
      <c r="D353" s="23" t="s">
        <v>1608</v>
      </c>
      <c r="E353" s="25">
        <v>8141603964</v>
      </c>
      <c r="F353" s="188">
        <v>32648</v>
      </c>
      <c r="G353" s="23" t="s">
        <v>10</v>
      </c>
      <c r="H353" s="180">
        <v>37.832884783622376</v>
      </c>
      <c r="I353" s="188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 x14ac:dyDescent="0.3">
      <c r="A354" s="176" t="s">
        <v>796</v>
      </c>
      <c r="B354" s="176" t="s">
        <v>310</v>
      </c>
      <c r="C354" s="23" t="s">
        <v>34</v>
      </c>
      <c r="D354" s="23" t="s">
        <v>1609</v>
      </c>
      <c r="E354" s="25">
        <v>3185604891</v>
      </c>
      <c r="F354" s="188">
        <v>32663</v>
      </c>
      <c r="G354" s="23" t="s">
        <v>10</v>
      </c>
      <c r="H354" s="180">
        <v>32.606256057619774</v>
      </c>
      <c r="I354" s="188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 x14ac:dyDescent="0.3">
      <c r="A355" s="176" t="s">
        <v>797</v>
      </c>
      <c r="B355" s="176" t="s">
        <v>577</v>
      </c>
      <c r="C355" s="23" t="s">
        <v>9</v>
      </c>
      <c r="D355" s="23" t="s">
        <v>1610</v>
      </c>
      <c r="E355" s="25">
        <v>8025402828</v>
      </c>
      <c r="F355" s="188">
        <v>32789</v>
      </c>
      <c r="G355" s="23" t="s">
        <v>10</v>
      </c>
      <c r="H355" s="180">
        <v>39.15661840354899</v>
      </c>
      <c r="I355" s="188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 x14ac:dyDescent="0.3">
      <c r="A356" s="176" t="s">
        <v>798</v>
      </c>
      <c r="B356" s="176" t="s">
        <v>732</v>
      </c>
      <c r="C356" s="23" t="s">
        <v>28</v>
      </c>
      <c r="D356" s="23" t="s">
        <v>1611</v>
      </c>
      <c r="E356" s="25">
        <v>7094436681</v>
      </c>
      <c r="F356" s="188">
        <v>30152</v>
      </c>
      <c r="G356" s="23" t="s">
        <v>10</v>
      </c>
      <c r="H356" s="180">
        <v>33.114260333281102</v>
      </c>
      <c r="I356" s="188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 x14ac:dyDescent="0.3">
      <c r="A357" s="176" t="s">
        <v>799</v>
      </c>
      <c r="B357" s="176" t="s">
        <v>800</v>
      </c>
      <c r="C357" s="23" t="s">
        <v>17</v>
      </c>
      <c r="D357" s="23" t="s">
        <v>1612</v>
      </c>
      <c r="E357" s="25">
        <v>3134629972</v>
      </c>
      <c r="F357" s="188">
        <v>33961</v>
      </c>
      <c r="G357" s="23" t="s">
        <v>18</v>
      </c>
      <c r="H357" s="180">
        <v>38.447482013458483</v>
      </c>
      <c r="I357" s="188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 x14ac:dyDescent="0.3">
      <c r="A358" s="176" t="s">
        <v>801</v>
      </c>
      <c r="B358" s="176" t="s">
        <v>802</v>
      </c>
      <c r="C358" s="23" t="s">
        <v>5</v>
      </c>
      <c r="D358" s="23" t="s">
        <v>1613</v>
      </c>
      <c r="E358" s="25">
        <v>9172339143</v>
      </c>
      <c r="F358" s="188">
        <v>28848</v>
      </c>
      <c r="G358" s="23" t="s">
        <v>10</v>
      </c>
      <c r="H358" s="180">
        <v>37.45841391742465</v>
      </c>
      <c r="I358" s="18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 x14ac:dyDescent="0.3">
      <c r="A359" s="176" t="s">
        <v>803</v>
      </c>
      <c r="B359" s="176" t="s">
        <v>804</v>
      </c>
      <c r="C359" s="23" t="s">
        <v>27</v>
      </c>
      <c r="D359" s="23" t="s">
        <v>1614</v>
      </c>
      <c r="E359" s="25">
        <v>6152212512</v>
      </c>
      <c r="F359" s="188">
        <v>30631</v>
      </c>
      <c r="G359" s="23" t="s">
        <v>6</v>
      </c>
      <c r="H359" s="180">
        <v>32.416129862791706</v>
      </c>
      <c r="I359" s="188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 x14ac:dyDescent="0.3">
      <c r="A360" s="176" t="s">
        <v>805</v>
      </c>
      <c r="B360" s="176" t="s">
        <v>783</v>
      </c>
      <c r="C360" s="23" t="s">
        <v>9</v>
      </c>
      <c r="D360" s="23" t="s">
        <v>1615</v>
      </c>
      <c r="E360" s="25">
        <v>3088213594</v>
      </c>
      <c r="F360" s="188">
        <v>28311</v>
      </c>
      <c r="G360" s="23" t="s">
        <v>18</v>
      </c>
      <c r="H360" s="180">
        <v>31.408727277376926</v>
      </c>
      <c r="I360" s="188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 x14ac:dyDescent="0.3">
      <c r="A361" s="176" t="s">
        <v>806</v>
      </c>
      <c r="B361" s="176" t="s">
        <v>310</v>
      </c>
      <c r="C361" s="23" t="s">
        <v>27</v>
      </c>
      <c r="D361" s="23" t="s">
        <v>1616</v>
      </c>
      <c r="E361" s="25">
        <v>4056252690</v>
      </c>
      <c r="F361" s="188">
        <v>29702</v>
      </c>
      <c r="G361" s="23" t="s">
        <v>33</v>
      </c>
      <c r="H361" s="180">
        <v>36.202999385168781</v>
      </c>
      <c r="I361" s="188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 x14ac:dyDescent="0.3">
      <c r="A362" s="176" t="s">
        <v>807</v>
      </c>
      <c r="B362" s="176" t="s">
        <v>808</v>
      </c>
      <c r="C362" s="23" t="s">
        <v>28</v>
      </c>
      <c r="D362" s="23" t="s">
        <v>1617</v>
      </c>
      <c r="E362" s="25">
        <v>4136822349</v>
      </c>
      <c r="F362" s="188">
        <v>32694</v>
      </c>
      <c r="G362" s="23" t="s">
        <v>33</v>
      </c>
      <c r="H362" s="180">
        <v>31.790101900959979</v>
      </c>
      <c r="I362" s="188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 x14ac:dyDescent="0.3">
      <c r="A363" s="176" t="s">
        <v>809</v>
      </c>
      <c r="B363" s="176" t="s">
        <v>684</v>
      </c>
      <c r="C363" s="23" t="s">
        <v>37</v>
      </c>
      <c r="D363" s="23" t="s">
        <v>1618</v>
      </c>
      <c r="E363" s="25">
        <v>5013883356</v>
      </c>
      <c r="F363" s="188">
        <v>27859</v>
      </c>
      <c r="G363" s="23" t="s">
        <v>33</v>
      </c>
      <c r="H363" s="180">
        <v>31.154653774286043</v>
      </c>
      <c r="I363" s="188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 x14ac:dyDescent="0.3">
      <c r="A364" s="176" t="s">
        <v>810</v>
      </c>
      <c r="B364" s="176" t="s">
        <v>509</v>
      </c>
      <c r="C364" s="23" t="s">
        <v>9</v>
      </c>
      <c r="D364" s="23" t="s">
        <v>1619</v>
      </c>
      <c r="E364" s="25">
        <v>7148244224</v>
      </c>
      <c r="F364" s="188">
        <v>27858</v>
      </c>
      <c r="G364" s="23" t="s">
        <v>6</v>
      </c>
      <c r="H364" s="180">
        <v>34.843455830985029</v>
      </c>
      <c r="I364" s="188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 x14ac:dyDescent="0.3">
      <c r="A365" s="176" t="s">
        <v>811</v>
      </c>
      <c r="B365" s="176" t="s">
        <v>812</v>
      </c>
      <c r="C365" s="23" t="s">
        <v>41</v>
      </c>
      <c r="D365" s="23" t="s">
        <v>1620</v>
      </c>
      <c r="E365" s="25">
        <v>5194323329</v>
      </c>
      <c r="F365" s="188">
        <v>35747</v>
      </c>
      <c r="G365" s="23" t="s">
        <v>18</v>
      </c>
      <c r="H365" s="180">
        <v>30.457496124994552</v>
      </c>
      <c r="I365" s="188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 x14ac:dyDescent="0.3">
      <c r="A366" s="176" t="s">
        <v>813</v>
      </c>
      <c r="B366" s="176" t="s">
        <v>395</v>
      </c>
      <c r="C366" s="23" t="s">
        <v>17</v>
      </c>
      <c r="D366" s="23" t="s">
        <v>1621</v>
      </c>
      <c r="E366" s="25">
        <v>6182390604</v>
      </c>
      <c r="F366" s="188">
        <v>29671</v>
      </c>
      <c r="G366" s="23" t="s">
        <v>10</v>
      </c>
      <c r="H366" s="180">
        <v>34.774374956758471</v>
      </c>
      <c r="I366" s="188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</row>
    <row r="367" spans="1:33" x14ac:dyDescent="0.3">
      <c r="A367" s="176" t="s">
        <v>814</v>
      </c>
      <c r="B367" s="176" t="s">
        <v>690</v>
      </c>
      <c r="C367" s="23" t="s">
        <v>40</v>
      </c>
      <c r="D367" s="23" t="s">
        <v>1622</v>
      </c>
      <c r="E367" s="25">
        <v>5152400511</v>
      </c>
      <c r="F367" s="188">
        <v>35708</v>
      </c>
      <c r="G367" s="23" t="s">
        <v>6</v>
      </c>
      <c r="H367" s="180">
        <v>36.270895846589163</v>
      </c>
      <c r="I367" s="188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</row>
    <row r="368" spans="1:33" x14ac:dyDescent="0.3">
      <c r="A368" s="176" t="s">
        <v>815</v>
      </c>
      <c r="B368" s="176" t="s">
        <v>816</v>
      </c>
      <c r="C368" s="23" t="s">
        <v>28</v>
      </c>
      <c r="D368" s="23" t="s">
        <v>1623</v>
      </c>
      <c r="E368" s="25">
        <v>7064605984</v>
      </c>
      <c r="F368" s="188">
        <v>28497</v>
      </c>
      <c r="G368" s="23" t="s">
        <v>6</v>
      </c>
      <c r="H368" s="180">
        <v>35.479546842131711</v>
      </c>
      <c r="I368" s="18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</row>
    <row r="369" spans="1:33" x14ac:dyDescent="0.3">
      <c r="A369" s="176" t="s">
        <v>817</v>
      </c>
      <c r="B369" s="176" t="s">
        <v>310</v>
      </c>
      <c r="C369" s="23" t="s">
        <v>5</v>
      </c>
      <c r="D369" s="23" t="s">
        <v>1624</v>
      </c>
      <c r="E369" s="25">
        <v>3042715355</v>
      </c>
      <c r="F369" s="188">
        <v>29369</v>
      </c>
      <c r="G369" s="23" t="s">
        <v>10</v>
      </c>
      <c r="H369" s="180">
        <v>30.13104443838845</v>
      </c>
      <c r="I369" s="188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</row>
    <row r="370" spans="1:33" x14ac:dyDescent="0.3">
      <c r="A370" s="176" t="s">
        <v>818</v>
      </c>
      <c r="B370" s="176" t="s">
        <v>819</v>
      </c>
      <c r="C370" s="23" t="s">
        <v>17</v>
      </c>
      <c r="D370" s="23" t="s">
        <v>1292</v>
      </c>
      <c r="E370" s="25">
        <v>6048986390</v>
      </c>
      <c r="F370" s="188">
        <v>29787</v>
      </c>
      <c r="G370" s="23" t="s">
        <v>10</v>
      </c>
      <c r="H370" s="180">
        <v>36.012201412801161</v>
      </c>
      <c r="I370" s="188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</row>
    <row r="371" spans="1:33" x14ac:dyDescent="0.3">
      <c r="A371" s="176" t="s">
        <v>820</v>
      </c>
      <c r="B371" s="176" t="s">
        <v>304</v>
      </c>
      <c r="C371" s="23" t="s">
        <v>28</v>
      </c>
      <c r="D371" s="23" t="s">
        <v>1625</v>
      </c>
      <c r="E371" s="25">
        <v>5074914916</v>
      </c>
      <c r="F371" s="188">
        <v>35194</v>
      </c>
      <c r="G371" s="23" t="s">
        <v>10</v>
      </c>
      <c r="H371" s="180">
        <v>30.004971217207331</v>
      </c>
      <c r="I371" s="188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</row>
    <row r="372" spans="1:33" x14ac:dyDescent="0.3">
      <c r="A372" s="176" t="s">
        <v>821</v>
      </c>
      <c r="B372" s="176" t="s">
        <v>646</v>
      </c>
      <c r="C372" s="23" t="s">
        <v>17</v>
      </c>
      <c r="D372" s="23" t="s">
        <v>1626</v>
      </c>
      <c r="E372" s="25">
        <v>9035506190</v>
      </c>
      <c r="F372" s="188">
        <v>28025</v>
      </c>
      <c r="G372" s="23" t="s">
        <v>6</v>
      </c>
      <c r="H372" s="180">
        <v>39.439561639974876</v>
      </c>
      <c r="I372" s="188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</row>
    <row r="373" spans="1:33" x14ac:dyDescent="0.3">
      <c r="A373" s="176" t="s">
        <v>822</v>
      </c>
      <c r="B373" s="176" t="s">
        <v>823</v>
      </c>
      <c r="C373" s="23" t="s">
        <v>29</v>
      </c>
      <c r="D373" s="23" t="s">
        <v>1627</v>
      </c>
      <c r="E373" s="25">
        <v>8077713771</v>
      </c>
      <c r="F373" s="188">
        <v>27920</v>
      </c>
      <c r="G373" s="23" t="s">
        <v>18</v>
      </c>
      <c r="H373" s="180">
        <v>36.517074626500225</v>
      </c>
      <c r="I373" s="188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</row>
    <row r="374" spans="1:33" x14ac:dyDescent="0.3">
      <c r="A374" s="176" t="s">
        <v>824</v>
      </c>
      <c r="B374" s="176" t="s">
        <v>580</v>
      </c>
      <c r="C374" s="23" t="s">
        <v>23</v>
      </c>
      <c r="D374" s="23" t="s">
        <v>1628</v>
      </c>
      <c r="E374" s="25">
        <v>2054694995</v>
      </c>
      <c r="F374" s="188">
        <v>28613</v>
      </c>
      <c r="G374" s="23" t="s">
        <v>10</v>
      </c>
      <c r="H374" s="180">
        <v>35.584023864881843</v>
      </c>
      <c r="I374" s="188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</row>
    <row r="375" spans="1:33" x14ac:dyDescent="0.3">
      <c r="A375" s="176" t="s">
        <v>825</v>
      </c>
      <c r="B375" s="176" t="s">
        <v>346</v>
      </c>
      <c r="C375" s="23" t="s">
        <v>23</v>
      </c>
      <c r="D375" s="23" t="s">
        <v>1629</v>
      </c>
      <c r="E375" s="25">
        <v>3137909707</v>
      </c>
      <c r="F375" s="188">
        <v>28933</v>
      </c>
      <c r="G375" s="23" t="s">
        <v>10</v>
      </c>
      <c r="H375" s="180">
        <v>37.724206147370452</v>
      </c>
      <c r="I375" s="188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</row>
    <row r="376" spans="1:33" x14ac:dyDescent="0.3">
      <c r="A376" s="176" t="s">
        <v>826</v>
      </c>
      <c r="B376" s="176" t="s">
        <v>535</v>
      </c>
      <c r="C376" s="23" t="s">
        <v>28</v>
      </c>
      <c r="D376" s="23" t="s">
        <v>1630</v>
      </c>
      <c r="E376" s="25">
        <v>7135918708</v>
      </c>
      <c r="F376" s="188">
        <v>29787</v>
      </c>
      <c r="G376" s="23" t="s">
        <v>10</v>
      </c>
      <c r="H376" s="180">
        <v>30.240968606932661</v>
      </c>
      <c r="I376" s="188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</row>
    <row r="377" spans="1:33" x14ac:dyDescent="0.3">
      <c r="A377" s="176" t="s">
        <v>827</v>
      </c>
      <c r="B377" s="176" t="s">
        <v>447</v>
      </c>
      <c r="C377" s="23" t="s">
        <v>27</v>
      </c>
      <c r="D377" s="23" t="s">
        <v>1631</v>
      </c>
      <c r="E377" s="25">
        <v>3087710498</v>
      </c>
      <c r="F377" s="188">
        <v>30496</v>
      </c>
      <c r="G377" s="23" t="s">
        <v>10</v>
      </c>
      <c r="H377" s="180">
        <v>35.303627630160832</v>
      </c>
      <c r="I377" s="188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</row>
    <row r="378" spans="1:33" x14ac:dyDescent="0.3">
      <c r="A378" s="176" t="s">
        <v>828</v>
      </c>
      <c r="B378" s="176" t="s">
        <v>829</v>
      </c>
      <c r="C378" s="23" t="s">
        <v>25</v>
      </c>
      <c r="D378" s="23" t="s">
        <v>1632</v>
      </c>
      <c r="E378" s="25">
        <v>3054919822</v>
      </c>
      <c r="F378" s="188">
        <v>34693</v>
      </c>
      <c r="G378" s="23" t="s">
        <v>18</v>
      </c>
      <c r="H378" s="180">
        <v>32.611072295148176</v>
      </c>
      <c r="I378" s="18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</row>
    <row r="379" spans="1:33" x14ac:dyDescent="0.3">
      <c r="A379" s="176" t="s">
        <v>830</v>
      </c>
      <c r="B379" s="176" t="s">
        <v>408</v>
      </c>
      <c r="C379" s="23" t="s">
        <v>25</v>
      </c>
      <c r="D379" s="23" t="s">
        <v>1633</v>
      </c>
      <c r="E379" s="25">
        <v>8086530760</v>
      </c>
      <c r="F379" s="188">
        <v>29899</v>
      </c>
      <c r="G379" s="23" t="s">
        <v>10</v>
      </c>
      <c r="H379" s="180">
        <v>33.582779267878315</v>
      </c>
      <c r="I379" s="188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</row>
    <row r="380" spans="1:33" x14ac:dyDescent="0.3">
      <c r="A380" s="176" t="s">
        <v>831</v>
      </c>
      <c r="B380" s="176" t="s">
        <v>419</v>
      </c>
      <c r="C380" s="23" t="s">
        <v>17</v>
      </c>
      <c r="D380" s="23" t="s">
        <v>1634</v>
      </c>
      <c r="E380" s="25">
        <v>9146079829</v>
      </c>
      <c r="F380" s="188">
        <v>33339</v>
      </c>
      <c r="G380" s="23" t="s">
        <v>33</v>
      </c>
      <c r="H380" s="180">
        <v>35.521907698186922</v>
      </c>
      <c r="I380" s="188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</row>
    <row r="381" spans="1:33" x14ac:dyDescent="0.3">
      <c r="A381" s="176" t="s">
        <v>19</v>
      </c>
      <c r="B381" s="176" t="s">
        <v>793</v>
      </c>
      <c r="C381" s="23" t="s">
        <v>40</v>
      </c>
      <c r="D381" s="23" t="s">
        <v>1635</v>
      </c>
      <c r="E381" s="25">
        <v>7021806180</v>
      </c>
      <c r="F381" s="188">
        <v>34836</v>
      </c>
      <c r="G381" s="23" t="s">
        <v>10</v>
      </c>
      <c r="H381" s="180">
        <v>38.372736184767156</v>
      </c>
      <c r="I381" s="188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</row>
    <row r="382" spans="1:33" x14ac:dyDescent="0.3">
      <c r="A382" s="176" t="s">
        <v>832</v>
      </c>
      <c r="B382" s="176" t="s">
        <v>393</v>
      </c>
      <c r="C382" s="23" t="s">
        <v>28</v>
      </c>
      <c r="D382" s="23" t="s">
        <v>1636</v>
      </c>
      <c r="E382" s="25">
        <v>7032783818</v>
      </c>
      <c r="F382" s="188">
        <v>30039</v>
      </c>
      <c r="G382" s="23" t="s">
        <v>6</v>
      </c>
      <c r="H382" s="180">
        <v>36.371691368645266</v>
      </c>
      <c r="I382" s="188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</row>
    <row r="383" spans="1:33" x14ac:dyDescent="0.3">
      <c r="A383" s="176" t="s">
        <v>833</v>
      </c>
      <c r="B383" s="176" t="s">
        <v>834</v>
      </c>
      <c r="C383" s="23" t="s">
        <v>23</v>
      </c>
      <c r="D383" s="23" t="s">
        <v>1637</v>
      </c>
      <c r="E383" s="25">
        <v>7133542524</v>
      </c>
      <c r="F383" s="188">
        <v>29379</v>
      </c>
      <c r="G383" s="23" t="s">
        <v>6</v>
      </c>
      <c r="H383" s="180">
        <v>36.138891828354062</v>
      </c>
      <c r="I383" s="188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</row>
    <row r="384" spans="1:33" x14ac:dyDescent="0.3">
      <c r="A384" s="176" t="s">
        <v>835</v>
      </c>
      <c r="B384" s="176" t="s">
        <v>836</v>
      </c>
      <c r="C384" s="23" t="s">
        <v>23</v>
      </c>
      <c r="D384" s="23" t="s">
        <v>1638</v>
      </c>
      <c r="E384" s="25">
        <v>4038999194</v>
      </c>
      <c r="F384" s="188">
        <v>35625</v>
      </c>
      <c r="G384" s="23" t="s">
        <v>10</v>
      </c>
      <c r="H384" s="180">
        <v>34.339344922025106</v>
      </c>
      <c r="I384" s="188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</row>
    <row r="385" spans="1:33" x14ac:dyDescent="0.3">
      <c r="A385" s="176" t="s">
        <v>837</v>
      </c>
      <c r="B385" s="176" t="s">
        <v>838</v>
      </c>
      <c r="C385" s="23" t="s">
        <v>40</v>
      </c>
      <c r="D385" s="23" t="s">
        <v>1639</v>
      </c>
      <c r="E385" s="25">
        <v>4177662359</v>
      </c>
      <c r="F385" s="188">
        <v>29487</v>
      </c>
      <c r="G385" s="23" t="s">
        <v>10</v>
      </c>
      <c r="H385" s="180">
        <v>30.860182817781048</v>
      </c>
      <c r="I385" s="188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</row>
    <row r="386" spans="1:33" x14ac:dyDescent="0.3">
      <c r="A386" s="176" t="s">
        <v>839</v>
      </c>
      <c r="B386" s="176" t="s">
        <v>840</v>
      </c>
      <c r="C386" s="23" t="s">
        <v>23</v>
      </c>
      <c r="D386" s="23" t="s">
        <v>1640</v>
      </c>
      <c r="E386" s="25">
        <v>9062612740</v>
      </c>
      <c r="F386" s="188">
        <v>28537</v>
      </c>
      <c r="G386" s="23" t="s">
        <v>10</v>
      </c>
      <c r="H386" s="180">
        <v>32.270025022938157</v>
      </c>
      <c r="I386" s="188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</row>
    <row r="387" spans="1:33" x14ac:dyDescent="0.3">
      <c r="A387" s="176" t="s">
        <v>841</v>
      </c>
      <c r="B387" s="176" t="s">
        <v>842</v>
      </c>
      <c r="C387" s="23" t="s">
        <v>17</v>
      </c>
      <c r="D387" s="23" t="s">
        <v>1641</v>
      </c>
      <c r="E387" s="25">
        <v>9182551469</v>
      </c>
      <c r="F387" s="188">
        <v>30367</v>
      </c>
      <c r="G387" s="23" t="s">
        <v>10</v>
      </c>
      <c r="H387" s="180">
        <v>32.690599875237396</v>
      </c>
      <c r="I387" s="188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</row>
    <row r="388" spans="1:33" x14ac:dyDescent="0.3">
      <c r="A388" s="176" t="s">
        <v>843</v>
      </c>
      <c r="B388" s="176" t="s">
        <v>684</v>
      </c>
      <c r="C388" s="23" t="s">
        <v>28</v>
      </c>
      <c r="D388" s="23" t="s">
        <v>1642</v>
      </c>
      <c r="E388" s="25">
        <v>2067515181</v>
      </c>
      <c r="F388" s="188">
        <v>31933</v>
      </c>
      <c r="G388" s="23" t="s">
        <v>18</v>
      </c>
      <c r="H388" s="180">
        <v>39.284144004585031</v>
      </c>
      <c r="I388" s="1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</row>
    <row r="389" spans="1:33" x14ac:dyDescent="0.3">
      <c r="A389" s="176" t="s">
        <v>844</v>
      </c>
      <c r="B389" s="176" t="s">
        <v>845</v>
      </c>
      <c r="C389" s="23" t="s">
        <v>9</v>
      </c>
      <c r="D389" s="23" t="s">
        <v>1643</v>
      </c>
      <c r="E389" s="25">
        <v>4174618773</v>
      </c>
      <c r="F389" s="188">
        <v>32417</v>
      </c>
      <c r="G389" s="23" t="s">
        <v>18</v>
      </c>
      <c r="H389" s="180">
        <v>35.17421305298538</v>
      </c>
      <c r="I389" s="188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</row>
    <row r="390" spans="1:33" x14ac:dyDescent="0.3">
      <c r="A390" s="176" t="s">
        <v>846</v>
      </c>
      <c r="B390" s="176" t="s">
        <v>589</v>
      </c>
      <c r="C390" s="23" t="s">
        <v>25</v>
      </c>
      <c r="D390" s="23" t="s">
        <v>1644</v>
      </c>
      <c r="E390" s="25">
        <v>5168253211</v>
      </c>
      <c r="F390" s="188">
        <v>32648</v>
      </c>
      <c r="G390" s="23" t="s">
        <v>10</v>
      </c>
      <c r="H390" s="180">
        <v>32.031035813360795</v>
      </c>
      <c r="I390" s="188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</row>
    <row r="391" spans="1:33" x14ac:dyDescent="0.3">
      <c r="A391" s="176" t="s">
        <v>847</v>
      </c>
      <c r="B391" s="176" t="s">
        <v>684</v>
      </c>
      <c r="C391" s="23" t="s">
        <v>23</v>
      </c>
      <c r="D391" s="23" t="s">
        <v>1645</v>
      </c>
      <c r="E391" s="25">
        <v>6068561246</v>
      </c>
      <c r="F391" s="188">
        <v>32663</v>
      </c>
      <c r="G391" s="23" t="s">
        <v>6</v>
      </c>
      <c r="H391" s="180">
        <v>31.280999239075538</v>
      </c>
      <c r="I391" s="188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</row>
    <row r="392" spans="1:33" x14ac:dyDescent="0.3">
      <c r="A392" s="176" t="s">
        <v>848</v>
      </c>
      <c r="B392" s="176" t="s">
        <v>472</v>
      </c>
      <c r="C392" s="23" t="s">
        <v>9</v>
      </c>
      <c r="D392" s="23" t="s">
        <v>1646</v>
      </c>
      <c r="E392" s="25">
        <v>5161376854</v>
      </c>
      <c r="F392" s="188">
        <v>32789</v>
      </c>
      <c r="G392" s="23" t="s">
        <v>18</v>
      </c>
      <c r="H392" s="180">
        <v>34.411331900411511</v>
      </c>
      <c r="I392" s="188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</row>
    <row r="393" spans="1:33" x14ac:dyDescent="0.3">
      <c r="A393" s="176" t="s">
        <v>849</v>
      </c>
      <c r="B393" s="176" t="s">
        <v>429</v>
      </c>
      <c r="C393" s="23" t="s">
        <v>17</v>
      </c>
      <c r="D393" s="23" t="s">
        <v>1647</v>
      </c>
      <c r="E393" s="25">
        <v>4016026842</v>
      </c>
      <c r="F393" s="188">
        <v>32694</v>
      </c>
      <c r="G393" s="23" t="s">
        <v>6</v>
      </c>
      <c r="H393" s="180">
        <v>30.030457807856589</v>
      </c>
      <c r="I393" s="188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</row>
    <row r="394" spans="1:33" x14ac:dyDescent="0.3">
      <c r="A394" s="176" t="s">
        <v>850</v>
      </c>
      <c r="B394" s="176" t="s">
        <v>389</v>
      </c>
      <c r="C394" s="23" t="s">
        <v>23</v>
      </c>
      <c r="D394" s="23" t="s">
        <v>1648</v>
      </c>
      <c r="E394" s="25">
        <v>4083744359</v>
      </c>
      <c r="F394" s="188">
        <v>27859</v>
      </c>
      <c r="G394" s="23" t="s">
        <v>10</v>
      </c>
      <c r="H394" s="180">
        <v>30.920139453028842</v>
      </c>
      <c r="I394" s="188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</row>
    <row r="395" spans="1:33" x14ac:dyDescent="0.3">
      <c r="A395" s="176" t="s">
        <v>851</v>
      </c>
      <c r="B395" s="176" t="s">
        <v>804</v>
      </c>
      <c r="C395" s="23" t="s">
        <v>40</v>
      </c>
      <c r="D395" s="23" t="s">
        <v>1649</v>
      </c>
      <c r="E395" s="25">
        <v>9151919147</v>
      </c>
      <c r="F395" s="188">
        <v>27858</v>
      </c>
      <c r="G395" s="23" t="s">
        <v>10</v>
      </c>
      <c r="H395" s="180">
        <v>35.297218084520225</v>
      </c>
      <c r="I395" s="188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</row>
    <row r="396" spans="1:33" x14ac:dyDescent="0.3">
      <c r="A396" s="176" t="s">
        <v>852</v>
      </c>
      <c r="B396" s="176" t="s">
        <v>804</v>
      </c>
      <c r="C396" s="23" t="s">
        <v>17</v>
      </c>
      <c r="D396" s="23" t="s">
        <v>1650</v>
      </c>
      <c r="E396" s="25">
        <v>4116082608</v>
      </c>
      <c r="F396" s="188">
        <v>35747</v>
      </c>
      <c r="G396" s="23" t="s">
        <v>10</v>
      </c>
      <c r="H396" s="180">
        <v>30.903110156851358</v>
      </c>
      <c r="I396" s="188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</row>
    <row r="397" spans="1:33" x14ac:dyDescent="0.3">
      <c r="A397" s="176" t="s">
        <v>853</v>
      </c>
      <c r="B397" s="176" t="s">
        <v>854</v>
      </c>
      <c r="C397" s="23" t="s">
        <v>36</v>
      </c>
      <c r="D397" s="23" t="s">
        <v>1651</v>
      </c>
      <c r="E397" s="25">
        <v>6057686976</v>
      </c>
      <c r="F397" s="188">
        <v>29671</v>
      </c>
      <c r="G397" s="23" t="s">
        <v>18</v>
      </c>
      <c r="H397" s="180">
        <v>36.720927327434694</v>
      </c>
      <c r="I397" s="188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</row>
    <row r="398" spans="1:33" x14ac:dyDescent="0.3">
      <c r="A398" s="176" t="s">
        <v>855</v>
      </c>
      <c r="B398" s="176" t="s">
        <v>659</v>
      </c>
      <c r="C398" s="23" t="s">
        <v>23</v>
      </c>
      <c r="D398" s="23" t="s">
        <v>1652</v>
      </c>
      <c r="E398" s="25">
        <v>8167146686</v>
      </c>
      <c r="F398" s="188">
        <v>35708</v>
      </c>
      <c r="G398" s="23" t="s">
        <v>6</v>
      </c>
      <c r="H398" s="180">
        <v>37.203932236012577</v>
      </c>
      <c r="I398" s="18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</row>
    <row r="399" spans="1:33" x14ac:dyDescent="0.3">
      <c r="A399" s="176" t="s">
        <v>856</v>
      </c>
      <c r="B399" s="176" t="s">
        <v>342</v>
      </c>
      <c r="C399" s="23" t="s">
        <v>23</v>
      </c>
      <c r="D399" s="23" t="s">
        <v>1653</v>
      </c>
      <c r="E399" s="25">
        <v>4194729409</v>
      </c>
      <c r="F399" s="188">
        <v>28497</v>
      </c>
      <c r="G399" s="23" t="s">
        <v>10</v>
      </c>
      <c r="H399" s="180">
        <v>39.997232665286774</v>
      </c>
      <c r="I399" s="188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</row>
    <row r="400" spans="1:33" x14ac:dyDescent="0.3">
      <c r="A400" s="176" t="s">
        <v>857</v>
      </c>
      <c r="B400" s="176" t="s">
        <v>858</v>
      </c>
      <c r="C400" s="23" t="s">
        <v>9</v>
      </c>
      <c r="D400" s="23" t="s">
        <v>1654</v>
      </c>
      <c r="E400" s="25">
        <v>5041789943</v>
      </c>
      <c r="F400" s="188">
        <v>29369</v>
      </c>
      <c r="G400" s="23" t="s">
        <v>10</v>
      </c>
      <c r="H400" s="180">
        <v>32.508042321822373</v>
      </c>
      <c r="I400" s="188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</row>
    <row r="401" spans="1:33" x14ac:dyDescent="0.3">
      <c r="A401" s="176" t="s">
        <v>859</v>
      </c>
      <c r="B401" s="176" t="s">
        <v>684</v>
      </c>
      <c r="C401" s="23" t="s">
        <v>29</v>
      </c>
      <c r="D401" s="23" t="s">
        <v>1655</v>
      </c>
      <c r="E401" s="25">
        <v>6178443818</v>
      </c>
      <c r="F401" s="188">
        <v>29787</v>
      </c>
      <c r="G401" s="23" t="s">
        <v>10</v>
      </c>
      <c r="H401" s="180">
        <v>39.98209829430202</v>
      </c>
      <c r="I401" s="188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</row>
    <row r="402" spans="1:33" x14ac:dyDescent="0.3">
      <c r="A402" s="176" t="s">
        <v>860</v>
      </c>
      <c r="B402" s="176" t="s">
        <v>861</v>
      </c>
      <c r="C402" s="23" t="s">
        <v>9</v>
      </c>
      <c r="D402" s="23" t="s">
        <v>1656</v>
      </c>
      <c r="E402" s="25">
        <v>7127194901</v>
      </c>
      <c r="F402" s="188">
        <v>35194</v>
      </c>
      <c r="G402" s="23" t="s">
        <v>6</v>
      </c>
      <c r="H402" s="180">
        <v>39.79402389214799</v>
      </c>
      <c r="I402" s="188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</row>
    <row r="403" spans="1:33" x14ac:dyDescent="0.3">
      <c r="A403" s="176" t="s">
        <v>862</v>
      </c>
      <c r="B403" s="176" t="s">
        <v>285</v>
      </c>
      <c r="C403" s="23" t="s">
        <v>9</v>
      </c>
      <c r="D403" s="23" t="s">
        <v>1657</v>
      </c>
      <c r="E403" s="25">
        <v>9183077504</v>
      </c>
      <c r="F403" s="188">
        <v>28025</v>
      </c>
      <c r="G403" s="23" t="s">
        <v>10</v>
      </c>
      <c r="H403" s="180">
        <v>34.15324965155996</v>
      </c>
      <c r="I403" s="188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</row>
    <row r="404" spans="1:33" x14ac:dyDescent="0.3">
      <c r="A404" s="176" t="s">
        <v>863</v>
      </c>
      <c r="B404" s="176" t="s">
        <v>348</v>
      </c>
      <c r="C404" s="23" t="s">
        <v>23</v>
      </c>
      <c r="D404" s="23" t="s">
        <v>1658</v>
      </c>
      <c r="E404" s="25">
        <v>4067187041</v>
      </c>
      <c r="F404" s="188">
        <v>27920</v>
      </c>
      <c r="G404" s="23" t="s">
        <v>10</v>
      </c>
      <c r="H404" s="180">
        <v>39.14445461724776</v>
      </c>
      <c r="I404" s="188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</row>
    <row r="405" spans="1:33" x14ac:dyDescent="0.3">
      <c r="A405" s="176" t="s">
        <v>864</v>
      </c>
      <c r="B405" s="176" t="s">
        <v>783</v>
      </c>
      <c r="C405" s="23" t="s">
        <v>23</v>
      </c>
      <c r="D405" s="23" t="s">
        <v>1659</v>
      </c>
      <c r="E405" s="25">
        <v>2086753698</v>
      </c>
      <c r="F405" s="188">
        <v>28613</v>
      </c>
      <c r="G405" s="23" t="s">
        <v>6</v>
      </c>
      <c r="H405" s="180">
        <v>32.318235360063504</v>
      </c>
      <c r="I405" s="188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</row>
    <row r="406" spans="1:33" x14ac:dyDescent="0.3">
      <c r="A406" s="176" t="s">
        <v>865</v>
      </c>
      <c r="B406" s="176" t="s">
        <v>285</v>
      </c>
      <c r="C406" s="23" t="s">
        <v>9</v>
      </c>
      <c r="D406" s="23" t="s">
        <v>1660</v>
      </c>
      <c r="E406" s="25">
        <v>4125968632</v>
      </c>
      <c r="F406" s="188">
        <v>28933</v>
      </c>
      <c r="G406" s="23" t="s">
        <v>33</v>
      </c>
      <c r="H406" s="180">
        <v>38.76254935234406</v>
      </c>
      <c r="I406" s="188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</row>
    <row r="407" spans="1:33" x14ac:dyDescent="0.3">
      <c r="A407" s="176" t="s">
        <v>866</v>
      </c>
      <c r="B407" s="176" t="s">
        <v>867</v>
      </c>
      <c r="C407" s="23" t="s">
        <v>27</v>
      </c>
      <c r="D407" s="23" t="s">
        <v>1661</v>
      </c>
      <c r="E407" s="25">
        <v>4166503334</v>
      </c>
      <c r="F407" s="188">
        <v>29787</v>
      </c>
      <c r="G407" s="23" t="s">
        <v>10</v>
      </c>
      <c r="H407" s="180">
        <v>31.999268789234641</v>
      </c>
      <c r="I407" s="188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</row>
    <row r="408" spans="1:33" x14ac:dyDescent="0.3">
      <c r="A408" s="176" t="s">
        <v>868</v>
      </c>
      <c r="B408" s="176" t="s">
        <v>500</v>
      </c>
      <c r="C408" s="23" t="s">
        <v>30</v>
      </c>
      <c r="D408" s="23" t="s">
        <v>1662</v>
      </c>
      <c r="E408" s="25">
        <v>4117853314</v>
      </c>
      <c r="F408" s="188">
        <v>30496</v>
      </c>
      <c r="G408" s="23" t="s">
        <v>6</v>
      </c>
      <c r="H408" s="180">
        <v>35.817152884011954</v>
      </c>
      <c r="I408" s="18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</row>
    <row r="409" spans="1:33" x14ac:dyDescent="0.3">
      <c r="A409" s="176" t="s">
        <v>234</v>
      </c>
      <c r="B409" s="176" t="s">
        <v>235</v>
      </c>
      <c r="C409" s="23" t="s">
        <v>25</v>
      </c>
      <c r="D409" s="23" t="s">
        <v>1663</v>
      </c>
      <c r="E409" s="25">
        <v>8064416232</v>
      </c>
      <c r="F409" s="188">
        <v>34693</v>
      </c>
      <c r="G409" s="23" t="s">
        <v>6</v>
      </c>
      <c r="H409" s="180">
        <v>30.822033053635128</v>
      </c>
      <c r="I409" s="188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</row>
    <row r="410" spans="1:33" x14ac:dyDescent="0.3">
      <c r="A410" s="176" t="s">
        <v>234</v>
      </c>
      <c r="B410" s="176" t="s">
        <v>244</v>
      </c>
      <c r="C410" s="23" t="s">
        <v>25</v>
      </c>
      <c r="D410" s="23" t="s">
        <v>1664</v>
      </c>
      <c r="E410" s="25">
        <v>3122338778</v>
      </c>
      <c r="F410" s="188">
        <v>29899</v>
      </c>
      <c r="G410" s="23" t="s">
        <v>10</v>
      </c>
      <c r="H410" s="180">
        <v>37.800490887809062</v>
      </c>
      <c r="I410" s="188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</row>
    <row r="411" spans="1:33" x14ac:dyDescent="0.3">
      <c r="A411" s="176" t="s">
        <v>234</v>
      </c>
      <c r="B411" s="176" t="s">
        <v>256</v>
      </c>
      <c r="C411" s="23" t="s">
        <v>25</v>
      </c>
      <c r="D411" s="23" t="s">
        <v>1665</v>
      </c>
      <c r="E411" s="25">
        <v>7127172882</v>
      </c>
      <c r="F411" s="188">
        <v>33339</v>
      </c>
      <c r="G411" s="23" t="s">
        <v>10</v>
      </c>
      <c r="H411" s="180">
        <v>31.465838583256605</v>
      </c>
      <c r="I411" s="188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</row>
    <row r="412" spans="1:33" x14ac:dyDescent="0.3">
      <c r="A412" s="176" t="s">
        <v>234</v>
      </c>
      <c r="B412" s="176" t="s">
        <v>265</v>
      </c>
      <c r="C412" s="23" t="s">
        <v>23</v>
      </c>
      <c r="D412" s="23" t="s">
        <v>1666</v>
      </c>
      <c r="E412" s="25">
        <v>2173838954</v>
      </c>
      <c r="F412" s="188">
        <v>34836</v>
      </c>
      <c r="G412" s="23" t="s">
        <v>18</v>
      </c>
      <c r="H412" s="180">
        <v>32.466293542896963</v>
      </c>
      <c r="I412" s="188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</row>
    <row r="413" spans="1:33" x14ac:dyDescent="0.3">
      <c r="A413" s="176" t="s">
        <v>234</v>
      </c>
      <c r="B413" s="176" t="s">
        <v>411</v>
      </c>
      <c r="C413" s="23" t="s">
        <v>9</v>
      </c>
      <c r="D413" s="23" t="s">
        <v>1667</v>
      </c>
      <c r="E413" s="25">
        <v>7081375297</v>
      </c>
      <c r="F413" s="188">
        <v>30039</v>
      </c>
      <c r="G413" s="23" t="s">
        <v>10</v>
      </c>
      <c r="H413" s="180">
        <v>36.942744012979418</v>
      </c>
      <c r="I413" s="188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</row>
    <row r="414" spans="1:33" x14ac:dyDescent="0.3">
      <c r="A414" s="176" t="s">
        <v>869</v>
      </c>
      <c r="B414" s="176" t="s">
        <v>421</v>
      </c>
      <c r="C414" s="23" t="s">
        <v>9</v>
      </c>
      <c r="D414" s="23" t="s">
        <v>1668</v>
      </c>
      <c r="E414" s="25">
        <v>6038678875</v>
      </c>
      <c r="F414" s="188">
        <v>29379</v>
      </c>
      <c r="G414" s="23" t="s">
        <v>10</v>
      </c>
      <c r="H414" s="180">
        <v>32.629794905220166</v>
      </c>
      <c r="I414" s="188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</row>
    <row r="415" spans="1:33" x14ac:dyDescent="0.3">
      <c r="A415" s="176" t="s">
        <v>870</v>
      </c>
      <c r="B415" s="176" t="s">
        <v>871</v>
      </c>
      <c r="C415" s="23" t="s">
        <v>17</v>
      </c>
      <c r="D415" s="23" t="s">
        <v>1669</v>
      </c>
      <c r="E415" s="25">
        <v>9086526117</v>
      </c>
      <c r="F415" s="188">
        <v>35625</v>
      </c>
      <c r="G415" s="23" t="s">
        <v>10</v>
      </c>
      <c r="H415" s="180">
        <v>31.798409022517408</v>
      </c>
      <c r="I415" s="188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</row>
    <row r="416" spans="1:33" x14ac:dyDescent="0.3">
      <c r="A416" s="176" t="s">
        <v>872</v>
      </c>
      <c r="B416" s="176" t="s">
        <v>592</v>
      </c>
      <c r="C416" s="23" t="s">
        <v>28</v>
      </c>
      <c r="D416" s="23" t="s">
        <v>1670</v>
      </c>
      <c r="E416" s="25">
        <v>7057889149</v>
      </c>
      <c r="F416" s="188">
        <v>29487</v>
      </c>
      <c r="G416" s="23" t="s">
        <v>6</v>
      </c>
      <c r="H416" s="180">
        <v>31.431495957588695</v>
      </c>
      <c r="I416" s="188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</row>
    <row r="417" spans="1:33" x14ac:dyDescent="0.3">
      <c r="A417" s="176" t="s">
        <v>873</v>
      </c>
      <c r="B417" s="176" t="s">
        <v>322</v>
      </c>
      <c r="C417" s="23" t="s">
        <v>39</v>
      </c>
      <c r="D417" s="23" t="s">
        <v>1671</v>
      </c>
      <c r="E417" s="25">
        <v>6198238755</v>
      </c>
      <c r="F417" s="188">
        <v>28537</v>
      </c>
      <c r="G417" s="23" t="s">
        <v>10</v>
      </c>
      <c r="H417" s="180">
        <v>30.673840257386146</v>
      </c>
      <c r="I417" s="188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</row>
    <row r="418" spans="1:33" x14ac:dyDescent="0.3">
      <c r="A418" s="176" t="s">
        <v>874</v>
      </c>
      <c r="B418" s="176" t="s">
        <v>405</v>
      </c>
      <c r="C418" s="23" t="s">
        <v>27</v>
      </c>
      <c r="D418" s="23" t="s">
        <v>1672</v>
      </c>
      <c r="E418" s="25">
        <v>4121617913</v>
      </c>
      <c r="F418" s="188">
        <v>30367</v>
      </c>
      <c r="G418" s="23" t="s">
        <v>10</v>
      </c>
      <c r="H418" s="180">
        <v>32.852609624424502</v>
      </c>
      <c r="I418" s="18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</row>
    <row r="419" spans="1:33" x14ac:dyDescent="0.3">
      <c r="A419" s="176" t="s">
        <v>875</v>
      </c>
      <c r="B419" s="176" t="s">
        <v>453</v>
      </c>
      <c r="C419" s="23" t="s">
        <v>28</v>
      </c>
      <c r="D419" s="23" t="s">
        <v>1673</v>
      </c>
      <c r="E419" s="25">
        <v>9125459665</v>
      </c>
      <c r="F419" s="188">
        <v>31933</v>
      </c>
      <c r="G419" s="23" t="s">
        <v>10</v>
      </c>
      <c r="H419" s="180">
        <v>33.792106037308592</v>
      </c>
      <c r="I419" s="188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</row>
    <row r="420" spans="1:33" x14ac:dyDescent="0.3">
      <c r="A420" s="176" t="s">
        <v>876</v>
      </c>
      <c r="B420" s="176" t="s">
        <v>499</v>
      </c>
      <c r="C420" s="23" t="s">
        <v>23</v>
      </c>
      <c r="D420" s="23" t="s">
        <v>1674</v>
      </c>
      <c r="E420" s="25">
        <v>7136196095</v>
      </c>
      <c r="F420" s="188">
        <v>32417</v>
      </c>
      <c r="G420" s="23" t="s">
        <v>6</v>
      </c>
      <c r="H420" s="180">
        <v>36.683280263029097</v>
      </c>
      <c r="I420" s="188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</row>
    <row r="421" spans="1:33" x14ac:dyDescent="0.3">
      <c r="A421" s="176" t="s">
        <v>877</v>
      </c>
      <c r="B421" s="176" t="s">
        <v>395</v>
      </c>
      <c r="C421" s="23" t="s">
        <v>9</v>
      </c>
      <c r="D421" s="23" t="s">
        <v>1675</v>
      </c>
      <c r="E421" s="25">
        <v>9085165289</v>
      </c>
      <c r="F421" s="188">
        <v>32648</v>
      </c>
      <c r="G421" s="23" t="s">
        <v>18</v>
      </c>
      <c r="H421" s="180">
        <v>30.418350499493236</v>
      </c>
      <c r="I421" s="188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</row>
    <row r="422" spans="1:33" x14ac:dyDescent="0.3">
      <c r="A422" s="176" t="s">
        <v>878</v>
      </c>
      <c r="B422" s="176" t="s">
        <v>879</v>
      </c>
      <c r="C422" s="23" t="s">
        <v>43</v>
      </c>
      <c r="D422" s="23" t="s">
        <v>1676</v>
      </c>
      <c r="E422" s="25">
        <v>8066689962</v>
      </c>
      <c r="F422" s="188">
        <v>32663</v>
      </c>
      <c r="G422" s="23" t="s">
        <v>6</v>
      </c>
      <c r="H422" s="180">
        <v>31.244298352577736</v>
      </c>
      <c r="I422" s="188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</row>
    <row r="423" spans="1:33" x14ac:dyDescent="0.3">
      <c r="A423" s="176" t="s">
        <v>880</v>
      </c>
      <c r="B423" s="176" t="s">
        <v>472</v>
      </c>
      <c r="C423" s="23" t="s">
        <v>26</v>
      </c>
      <c r="D423" s="23" t="s">
        <v>1677</v>
      </c>
      <c r="E423" s="25">
        <v>2012126686</v>
      </c>
      <c r="F423" s="188">
        <v>32789</v>
      </c>
      <c r="G423" s="23" t="s">
        <v>6</v>
      </c>
      <c r="H423" s="180">
        <v>37.933681082448103</v>
      </c>
      <c r="I423" s="188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</row>
    <row r="424" spans="1:33" x14ac:dyDescent="0.3">
      <c r="A424" s="176" t="s">
        <v>881</v>
      </c>
      <c r="B424" s="176" t="s">
        <v>405</v>
      </c>
      <c r="C424" s="23" t="s">
        <v>23</v>
      </c>
      <c r="D424" s="23" t="s">
        <v>1678</v>
      </c>
      <c r="E424" s="25">
        <v>2125085320</v>
      </c>
      <c r="F424" s="188">
        <v>30152</v>
      </c>
      <c r="G424" s="23" t="s">
        <v>10</v>
      </c>
      <c r="H424" s="180">
        <v>38.72578521622254</v>
      </c>
      <c r="I424" s="188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</row>
    <row r="425" spans="1:33" x14ac:dyDescent="0.3">
      <c r="A425" s="176" t="s">
        <v>882</v>
      </c>
      <c r="B425" s="176" t="s">
        <v>355</v>
      </c>
      <c r="C425" s="23" t="s">
        <v>42</v>
      </c>
      <c r="D425" s="23" t="s">
        <v>1679</v>
      </c>
      <c r="E425" s="25">
        <v>5113279828</v>
      </c>
      <c r="F425" s="188">
        <v>33961</v>
      </c>
      <c r="G425" s="23" t="s">
        <v>10</v>
      </c>
      <c r="H425" s="180">
        <v>36.005940928516218</v>
      </c>
      <c r="I425" s="188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</row>
    <row r="426" spans="1:33" x14ac:dyDescent="0.3">
      <c r="A426" s="176" t="s">
        <v>883</v>
      </c>
      <c r="B426" s="176" t="s">
        <v>884</v>
      </c>
      <c r="C426" s="23" t="s">
        <v>5</v>
      </c>
      <c r="D426" s="23" t="s">
        <v>1680</v>
      </c>
      <c r="E426" s="25">
        <v>3076245634</v>
      </c>
      <c r="F426" s="188">
        <v>28848</v>
      </c>
      <c r="G426" s="23" t="s">
        <v>10</v>
      </c>
      <c r="H426" s="180">
        <v>32.250903618437313</v>
      </c>
      <c r="I426" s="188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</row>
    <row r="427" spans="1:33" x14ac:dyDescent="0.3">
      <c r="A427" s="176" t="s">
        <v>885</v>
      </c>
      <c r="B427" s="176" t="s">
        <v>886</v>
      </c>
      <c r="C427" s="23" t="s">
        <v>23</v>
      </c>
      <c r="D427" s="23" t="s">
        <v>1681</v>
      </c>
      <c r="E427" s="25">
        <v>9163552027</v>
      </c>
      <c r="F427" s="188">
        <v>30631</v>
      </c>
      <c r="G427" s="23" t="s">
        <v>10</v>
      </c>
      <c r="H427" s="180">
        <v>31.88088851737038</v>
      </c>
      <c r="I427" s="188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</row>
    <row r="428" spans="1:33" x14ac:dyDescent="0.3">
      <c r="A428" s="176" t="s">
        <v>887</v>
      </c>
      <c r="B428" s="176" t="s">
        <v>342</v>
      </c>
      <c r="C428" s="23" t="s">
        <v>23</v>
      </c>
      <c r="D428" s="23" t="s">
        <v>1682</v>
      </c>
      <c r="E428" s="25">
        <v>7136718651</v>
      </c>
      <c r="F428" s="188">
        <v>28311</v>
      </c>
      <c r="G428" s="23" t="s">
        <v>18</v>
      </c>
      <c r="H428" s="180">
        <v>30.638732919886635</v>
      </c>
      <c r="I428" s="18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</row>
    <row r="429" spans="1:33" x14ac:dyDescent="0.3">
      <c r="A429" s="176" t="s">
        <v>888</v>
      </c>
      <c r="B429" s="176" t="s">
        <v>322</v>
      </c>
      <c r="C429" s="23" t="s">
        <v>23</v>
      </c>
      <c r="D429" s="23" t="s">
        <v>1683</v>
      </c>
      <c r="E429" s="25">
        <v>4061838930</v>
      </c>
      <c r="F429" s="188">
        <v>29702</v>
      </c>
      <c r="G429" s="23" t="s">
        <v>10</v>
      </c>
      <c r="H429" s="180">
        <v>32.551060256162359</v>
      </c>
      <c r="I429" s="188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</row>
    <row r="430" spans="1:33" x14ac:dyDescent="0.3">
      <c r="A430" s="176" t="s">
        <v>889</v>
      </c>
      <c r="B430" s="176" t="s">
        <v>509</v>
      </c>
      <c r="C430" s="23" t="s">
        <v>25</v>
      </c>
      <c r="D430" s="23" t="s">
        <v>1684</v>
      </c>
      <c r="E430" s="25">
        <v>9122602559</v>
      </c>
      <c r="F430" s="188">
        <v>32694</v>
      </c>
      <c r="G430" s="23" t="s">
        <v>10</v>
      </c>
      <c r="H430" s="180">
        <v>33.989760278136906</v>
      </c>
      <c r="I430" s="188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</row>
    <row r="431" spans="1:33" x14ac:dyDescent="0.3">
      <c r="A431" s="176" t="s">
        <v>890</v>
      </c>
      <c r="B431" s="176" t="s">
        <v>447</v>
      </c>
      <c r="C431" s="23" t="s">
        <v>38</v>
      </c>
      <c r="D431" s="23" t="s">
        <v>1685</v>
      </c>
      <c r="E431" s="25">
        <v>4077838614</v>
      </c>
      <c r="F431" s="188">
        <v>27859</v>
      </c>
      <c r="G431" s="23" t="s">
        <v>10</v>
      </c>
      <c r="H431" s="180">
        <v>34.836330716252284</v>
      </c>
      <c r="I431" s="188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</row>
    <row r="432" spans="1:33" x14ac:dyDescent="0.3">
      <c r="A432" s="176" t="s">
        <v>891</v>
      </c>
      <c r="B432" s="176" t="s">
        <v>322</v>
      </c>
      <c r="C432" s="23" t="s">
        <v>25</v>
      </c>
      <c r="D432" s="23" t="s">
        <v>1686</v>
      </c>
      <c r="E432" s="25">
        <v>2034310812</v>
      </c>
      <c r="F432" s="188">
        <v>27858</v>
      </c>
      <c r="G432" s="23" t="s">
        <v>6</v>
      </c>
      <c r="H432" s="180">
        <v>37.988047224155238</v>
      </c>
      <c r="I432" s="188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</row>
    <row r="433" spans="1:33" x14ac:dyDescent="0.3">
      <c r="A433" s="176" t="s">
        <v>892</v>
      </c>
      <c r="B433" s="176" t="s">
        <v>893</v>
      </c>
      <c r="C433" s="23" t="s">
        <v>32</v>
      </c>
      <c r="D433" s="23" t="s">
        <v>1687</v>
      </c>
      <c r="E433" s="25">
        <v>2033640748</v>
      </c>
      <c r="F433" s="188">
        <v>35747</v>
      </c>
      <c r="G433" s="23" t="s">
        <v>18</v>
      </c>
      <c r="H433" s="180">
        <v>32.459992255847901</v>
      </c>
      <c r="I433" s="188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</row>
    <row r="434" spans="1:33" x14ac:dyDescent="0.3">
      <c r="A434" s="176" t="s">
        <v>894</v>
      </c>
      <c r="B434" s="176" t="s">
        <v>895</v>
      </c>
      <c r="C434" s="23" t="s">
        <v>9</v>
      </c>
      <c r="D434" s="23" t="s">
        <v>1688</v>
      </c>
      <c r="E434" s="25">
        <v>7063173691</v>
      </c>
      <c r="F434" s="188">
        <v>29671</v>
      </c>
      <c r="G434" s="23" t="s">
        <v>10</v>
      </c>
      <c r="H434" s="180">
        <v>33.417925510173305</v>
      </c>
      <c r="I434" s="188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</row>
    <row r="435" spans="1:33" x14ac:dyDescent="0.3">
      <c r="A435" s="176" t="s">
        <v>896</v>
      </c>
      <c r="B435" s="176" t="s">
        <v>550</v>
      </c>
      <c r="C435" s="23" t="s">
        <v>9</v>
      </c>
      <c r="D435" s="23" t="s">
        <v>1689</v>
      </c>
      <c r="E435" s="25">
        <v>9186169135</v>
      </c>
      <c r="F435" s="188">
        <v>35708</v>
      </c>
      <c r="G435" s="23" t="s">
        <v>33</v>
      </c>
      <c r="H435" s="180">
        <v>32.085661160744095</v>
      </c>
      <c r="I435" s="188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</row>
    <row r="436" spans="1:33" x14ac:dyDescent="0.3">
      <c r="A436" s="176" t="s">
        <v>897</v>
      </c>
      <c r="B436" s="176" t="s">
        <v>336</v>
      </c>
      <c r="C436" s="23" t="s">
        <v>9</v>
      </c>
      <c r="D436" s="23" t="s">
        <v>1690</v>
      </c>
      <c r="E436" s="25">
        <v>6198908079</v>
      </c>
      <c r="F436" s="188">
        <v>28497</v>
      </c>
      <c r="G436" s="23" t="s">
        <v>6</v>
      </c>
      <c r="H436" s="180">
        <v>30.23183236944304</v>
      </c>
      <c r="I436" s="188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</row>
    <row r="437" spans="1:33" x14ac:dyDescent="0.3">
      <c r="A437" s="176" t="s">
        <v>898</v>
      </c>
      <c r="B437" s="176" t="s">
        <v>429</v>
      </c>
      <c r="C437" s="23" t="s">
        <v>31</v>
      </c>
      <c r="D437" s="23" t="s">
        <v>1691</v>
      </c>
      <c r="E437" s="25">
        <v>7194442207</v>
      </c>
      <c r="F437" s="188">
        <v>29369</v>
      </c>
      <c r="G437" s="23" t="s">
        <v>10</v>
      </c>
      <c r="H437" s="180">
        <v>38.729749218602556</v>
      </c>
      <c r="I437" s="188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</row>
    <row r="438" spans="1:33" x14ac:dyDescent="0.3">
      <c r="A438" s="176" t="s">
        <v>899</v>
      </c>
      <c r="B438" s="176" t="s">
        <v>462</v>
      </c>
      <c r="C438" s="23" t="s">
        <v>30</v>
      </c>
      <c r="D438" s="23" t="s">
        <v>1692</v>
      </c>
      <c r="E438" s="25">
        <v>9087557761</v>
      </c>
      <c r="F438" s="188">
        <v>29787</v>
      </c>
      <c r="G438" s="23" t="s">
        <v>10</v>
      </c>
      <c r="H438" s="180">
        <v>36.514055029807039</v>
      </c>
      <c r="I438" s="18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</row>
    <row r="439" spans="1:33" x14ac:dyDescent="0.3">
      <c r="A439" s="176" t="s">
        <v>900</v>
      </c>
      <c r="B439" s="176" t="s">
        <v>462</v>
      </c>
      <c r="C439" s="23" t="s">
        <v>9</v>
      </c>
      <c r="D439" s="23" t="s">
        <v>1693</v>
      </c>
      <c r="E439" s="25">
        <v>6044161772</v>
      </c>
      <c r="F439" s="188">
        <v>35194</v>
      </c>
      <c r="G439" s="23" t="s">
        <v>6</v>
      </c>
      <c r="H439" s="180">
        <v>33.358833778764591</v>
      </c>
      <c r="I439" s="188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</row>
    <row r="440" spans="1:33" x14ac:dyDescent="0.3">
      <c r="A440" s="176" t="s">
        <v>901</v>
      </c>
      <c r="B440" s="176" t="s">
        <v>902</v>
      </c>
      <c r="C440" s="23" t="s">
        <v>17</v>
      </c>
      <c r="D440" s="23" t="s">
        <v>1694</v>
      </c>
      <c r="E440" s="25">
        <v>5087726916</v>
      </c>
      <c r="F440" s="188">
        <v>28025</v>
      </c>
      <c r="G440" s="23" t="s">
        <v>18</v>
      </c>
      <c r="H440" s="180">
        <v>30.290053769350145</v>
      </c>
      <c r="I440" s="188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</row>
    <row r="441" spans="1:33" x14ac:dyDescent="0.3">
      <c r="A441" s="176" t="s">
        <v>903</v>
      </c>
      <c r="B441" s="176" t="s">
        <v>904</v>
      </c>
      <c r="C441" s="23" t="s">
        <v>25</v>
      </c>
      <c r="D441" s="23" t="s">
        <v>1309</v>
      </c>
      <c r="E441" s="25">
        <v>5061715499</v>
      </c>
      <c r="F441" s="188">
        <v>27920</v>
      </c>
      <c r="G441" s="23" t="s">
        <v>18</v>
      </c>
      <c r="H441" s="180">
        <v>33.14162538348647</v>
      </c>
      <c r="I441" s="188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</row>
    <row r="442" spans="1:33" x14ac:dyDescent="0.3">
      <c r="A442" s="176" t="s">
        <v>905</v>
      </c>
      <c r="B442" s="176" t="s">
        <v>906</v>
      </c>
      <c r="C442" s="23" t="s">
        <v>5</v>
      </c>
      <c r="D442" s="23" t="s">
        <v>1695</v>
      </c>
      <c r="E442" s="25">
        <v>9166228199</v>
      </c>
      <c r="F442" s="188">
        <v>28613</v>
      </c>
      <c r="G442" s="23" t="s">
        <v>18</v>
      </c>
      <c r="H442" s="180">
        <v>34.32380730516094</v>
      </c>
      <c r="I442" s="188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</row>
    <row r="443" spans="1:33" x14ac:dyDescent="0.3">
      <c r="A443" s="176" t="s">
        <v>907</v>
      </c>
      <c r="B443" s="176" t="s">
        <v>908</v>
      </c>
      <c r="C443" s="23" t="s">
        <v>31</v>
      </c>
      <c r="D443" s="23" t="s">
        <v>1696</v>
      </c>
      <c r="E443" s="25">
        <v>2182456406</v>
      </c>
      <c r="F443" s="188">
        <v>28933</v>
      </c>
      <c r="G443" s="23" t="s">
        <v>6</v>
      </c>
      <c r="H443" s="180">
        <v>38.003142840468698</v>
      </c>
      <c r="I443" s="188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</row>
    <row r="444" spans="1:33" x14ac:dyDescent="0.3">
      <c r="A444" s="176" t="s">
        <v>909</v>
      </c>
      <c r="B444" s="176" t="s">
        <v>353</v>
      </c>
      <c r="C444" s="23" t="s">
        <v>26</v>
      </c>
      <c r="D444" s="23" t="s">
        <v>1697</v>
      </c>
      <c r="E444" s="25">
        <v>6145993367</v>
      </c>
      <c r="F444" s="188">
        <v>29787</v>
      </c>
      <c r="G444" s="23" t="s">
        <v>33</v>
      </c>
      <c r="H444" s="180">
        <v>37.735136711559008</v>
      </c>
      <c r="I444" s="188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</row>
    <row r="445" spans="1:33" x14ac:dyDescent="0.3">
      <c r="A445" s="176" t="s">
        <v>910</v>
      </c>
      <c r="B445" s="176" t="s">
        <v>911</v>
      </c>
      <c r="C445" s="23" t="s">
        <v>5</v>
      </c>
      <c r="D445" s="23" t="s">
        <v>1698</v>
      </c>
      <c r="E445" s="25">
        <v>9198249735</v>
      </c>
      <c r="F445" s="188">
        <v>30496</v>
      </c>
      <c r="G445" s="23" t="s">
        <v>33</v>
      </c>
      <c r="H445" s="180">
        <v>38.034628600581996</v>
      </c>
      <c r="I445" s="188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</row>
    <row r="446" spans="1:33" x14ac:dyDescent="0.3">
      <c r="A446" s="176" t="s">
        <v>912</v>
      </c>
      <c r="B446" s="176" t="s">
        <v>913</v>
      </c>
      <c r="C446" s="23" t="s">
        <v>36</v>
      </c>
      <c r="D446" s="23" t="s">
        <v>1699</v>
      </c>
      <c r="E446" s="25">
        <v>9173262077</v>
      </c>
      <c r="F446" s="188">
        <v>34693</v>
      </c>
      <c r="G446" s="23" t="s">
        <v>10</v>
      </c>
      <c r="H446" s="180">
        <v>31.475299473732093</v>
      </c>
      <c r="I446" s="188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</row>
    <row r="447" spans="1:33" x14ac:dyDescent="0.3">
      <c r="A447" s="176" t="s">
        <v>914</v>
      </c>
      <c r="B447" s="176" t="s">
        <v>322</v>
      </c>
      <c r="C447" s="23" t="s">
        <v>17</v>
      </c>
      <c r="D447" s="23" t="s">
        <v>1700</v>
      </c>
      <c r="E447" s="25">
        <v>9182376215</v>
      </c>
      <c r="F447" s="188">
        <v>29899</v>
      </c>
      <c r="G447" s="23" t="s">
        <v>18</v>
      </c>
      <c r="H447" s="180">
        <v>33.03622504372111</v>
      </c>
      <c r="I447" s="188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</row>
    <row r="448" spans="1:33" x14ac:dyDescent="0.3">
      <c r="A448" s="176" t="s">
        <v>915</v>
      </c>
      <c r="B448" s="176" t="s">
        <v>916</v>
      </c>
      <c r="C448" s="23" t="s">
        <v>34</v>
      </c>
      <c r="D448" s="23" t="s">
        <v>1701</v>
      </c>
      <c r="E448" s="25">
        <v>5062672603</v>
      </c>
      <c r="F448" s="188">
        <v>33339</v>
      </c>
      <c r="G448" s="23" t="s">
        <v>6</v>
      </c>
      <c r="H448" s="180">
        <v>31.656965644183739</v>
      </c>
      <c r="I448" s="18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</row>
    <row r="449" spans="1:33" x14ac:dyDescent="0.3">
      <c r="A449" s="176" t="s">
        <v>917</v>
      </c>
      <c r="B449" s="176" t="s">
        <v>845</v>
      </c>
      <c r="C449" s="23" t="s">
        <v>26</v>
      </c>
      <c r="D449" s="23" t="s">
        <v>1702</v>
      </c>
      <c r="E449" s="25">
        <v>2111919478</v>
      </c>
      <c r="F449" s="188">
        <v>34836</v>
      </c>
      <c r="G449" s="23" t="s">
        <v>6</v>
      </c>
      <c r="H449" s="180">
        <v>35.127675433459245</v>
      </c>
      <c r="I449" s="188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</row>
    <row r="450" spans="1:33" x14ac:dyDescent="0.3">
      <c r="A450" s="176" t="s">
        <v>918</v>
      </c>
      <c r="B450" s="176" t="s">
        <v>434</v>
      </c>
      <c r="C450" s="23" t="s">
        <v>23</v>
      </c>
      <c r="D450" s="23" t="s">
        <v>1703</v>
      </c>
      <c r="E450" s="25">
        <v>5061588597</v>
      </c>
      <c r="F450" s="188">
        <v>30039</v>
      </c>
      <c r="G450" s="23" t="s">
        <v>10</v>
      </c>
      <c r="H450" s="180">
        <v>32.717841999063928</v>
      </c>
      <c r="I450" s="188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</row>
    <row r="451" spans="1:33" x14ac:dyDescent="0.3">
      <c r="A451" s="176" t="s">
        <v>919</v>
      </c>
      <c r="B451" s="176" t="s">
        <v>920</v>
      </c>
      <c r="C451" s="23" t="s">
        <v>23</v>
      </c>
      <c r="D451" s="23" t="s">
        <v>1704</v>
      </c>
      <c r="E451" s="25">
        <v>2081575684</v>
      </c>
      <c r="F451" s="188">
        <v>29379</v>
      </c>
      <c r="G451" s="23" t="s">
        <v>10</v>
      </c>
      <c r="H451" s="180">
        <v>35.227552337824818</v>
      </c>
      <c r="I451" s="188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</row>
    <row r="452" spans="1:33" x14ac:dyDescent="0.3">
      <c r="A452" s="176" t="s">
        <v>921</v>
      </c>
      <c r="B452" s="176" t="s">
        <v>922</v>
      </c>
      <c r="C452" s="23" t="s">
        <v>27</v>
      </c>
      <c r="D452" s="23" t="s">
        <v>1705</v>
      </c>
      <c r="E452" s="25">
        <v>2016069116</v>
      </c>
      <c r="F452" s="188">
        <v>35625</v>
      </c>
      <c r="G452" s="23" t="s">
        <v>33</v>
      </c>
      <c r="H452" s="180">
        <v>32.116321288095456</v>
      </c>
      <c r="I452" s="188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</row>
    <row r="453" spans="1:33" x14ac:dyDescent="0.3">
      <c r="A453" s="176" t="s">
        <v>923</v>
      </c>
      <c r="B453" s="176" t="s">
        <v>924</v>
      </c>
      <c r="C453" s="23" t="s">
        <v>31</v>
      </c>
      <c r="D453" s="23" t="s">
        <v>1706</v>
      </c>
      <c r="E453" s="25">
        <v>4164919418</v>
      </c>
      <c r="F453" s="188">
        <v>29487</v>
      </c>
      <c r="G453" s="23" t="s">
        <v>6</v>
      </c>
      <c r="H453" s="180">
        <v>30.275270281728744</v>
      </c>
      <c r="I453" s="188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</row>
    <row r="454" spans="1:33" x14ac:dyDescent="0.3">
      <c r="A454" s="176" t="s">
        <v>925</v>
      </c>
      <c r="B454" s="176" t="s">
        <v>926</v>
      </c>
      <c r="C454" s="23" t="s">
        <v>36</v>
      </c>
      <c r="D454" s="23" t="s">
        <v>1707</v>
      </c>
      <c r="E454" s="25">
        <v>3135227751</v>
      </c>
      <c r="F454" s="188">
        <v>28537</v>
      </c>
      <c r="G454" s="23" t="s">
        <v>33</v>
      </c>
      <c r="H454" s="180">
        <v>38.989973761011704</v>
      </c>
      <c r="I454" s="188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</row>
    <row r="455" spans="1:33" x14ac:dyDescent="0.3">
      <c r="A455" s="176" t="s">
        <v>927</v>
      </c>
      <c r="B455" s="176" t="s">
        <v>928</v>
      </c>
      <c r="C455" s="23" t="s">
        <v>9</v>
      </c>
      <c r="D455" s="23" t="s">
        <v>1708</v>
      </c>
      <c r="E455" s="25">
        <v>2094713634</v>
      </c>
      <c r="F455" s="188">
        <v>30367</v>
      </c>
      <c r="G455" s="23" t="s">
        <v>10</v>
      </c>
      <c r="H455" s="180">
        <v>36.488261008607168</v>
      </c>
      <c r="I455" s="188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</row>
    <row r="456" spans="1:33" x14ac:dyDescent="0.3">
      <c r="A456" s="176" t="s">
        <v>929</v>
      </c>
      <c r="B456" s="176" t="s">
        <v>930</v>
      </c>
      <c r="C456" s="23" t="s">
        <v>9</v>
      </c>
      <c r="D456" s="23" t="s">
        <v>1709</v>
      </c>
      <c r="E456" s="25">
        <v>7184900864</v>
      </c>
      <c r="F456" s="188">
        <v>31933</v>
      </c>
      <c r="G456" s="23" t="s">
        <v>6</v>
      </c>
      <c r="H456" s="180">
        <v>32.312644621761208</v>
      </c>
      <c r="I456" s="188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</row>
    <row r="457" spans="1:33" x14ac:dyDescent="0.3">
      <c r="A457" s="176" t="s">
        <v>931</v>
      </c>
      <c r="B457" s="176" t="s">
        <v>423</v>
      </c>
      <c r="C457" s="23" t="s">
        <v>9</v>
      </c>
      <c r="D457" s="23" t="s">
        <v>1710</v>
      </c>
      <c r="E457" s="25">
        <v>6065368383</v>
      </c>
      <c r="F457" s="188">
        <v>32417</v>
      </c>
      <c r="G457" s="23" t="s">
        <v>10</v>
      </c>
      <c r="H457" s="180">
        <v>33.485125152936895</v>
      </c>
      <c r="I457" s="188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</row>
    <row r="458" spans="1:33" x14ac:dyDescent="0.3">
      <c r="A458" s="176" t="s">
        <v>932</v>
      </c>
      <c r="B458" s="176" t="s">
        <v>933</v>
      </c>
      <c r="C458" s="23" t="s">
        <v>17</v>
      </c>
      <c r="D458" s="23" t="s">
        <v>1711</v>
      </c>
      <c r="E458" s="25">
        <v>6042787318</v>
      </c>
      <c r="F458" s="188">
        <v>32648</v>
      </c>
      <c r="G458" s="23" t="s">
        <v>18</v>
      </c>
      <c r="H458" s="180">
        <v>35.38333113657832</v>
      </c>
      <c r="I458" s="18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</row>
    <row r="459" spans="1:33" x14ac:dyDescent="0.3">
      <c r="A459" s="176" t="s">
        <v>934</v>
      </c>
      <c r="B459" s="176" t="s">
        <v>413</v>
      </c>
      <c r="C459" s="23" t="s">
        <v>31</v>
      </c>
      <c r="D459" s="23" t="s">
        <v>1712</v>
      </c>
      <c r="E459" s="25">
        <v>7155790872</v>
      </c>
      <c r="F459" s="188">
        <v>32663</v>
      </c>
      <c r="G459" s="23" t="s">
        <v>10</v>
      </c>
      <c r="H459" s="180">
        <v>30.982086142037993</v>
      </c>
      <c r="I459" s="188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</row>
    <row r="460" spans="1:33" x14ac:dyDescent="0.3">
      <c r="A460" s="176" t="s">
        <v>935</v>
      </c>
      <c r="B460" s="176" t="s">
        <v>646</v>
      </c>
      <c r="C460" s="23" t="s">
        <v>25</v>
      </c>
      <c r="D460" s="23" t="s">
        <v>1713</v>
      </c>
      <c r="E460" s="25">
        <v>5122153322</v>
      </c>
      <c r="F460" s="188">
        <v>32789</v>
      </c>
      <c r="G460" s="23" t="s">
        <v>10</v>
      </c>
      <c r="H460" s="180">
        <v>34.943592493185818</v>
      </c>
      <c r="I460" s="188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</row>
    <row r="461" spans="1:33" x14ac:dyDescent="0.3">
      <c r="A461" s="176" t="s">
        <v>936</v>
      </c>
      <c r="B461" s="176" t="s">
        <v>937</v>
      </c>
      <c r="C461" s="23" t="s">
        <v>5</v>
      </c>
      <c r="D461" s="23" t="s">
        <v>1714</v>
      </c>
      <c r="E461" s="25">
        <v>6061525844</v>
      </c>
      <c r="F461" s="188">
        <v>30152</v>
      </c>
      <c r="G461" s="23" t="s">
        <v>10</v>
      </c>
      <c r="H461" s="180">
        <v>32.106694121551868</v>
      </c>
      <c r="I461" s="188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</row>
    <row r="462" spans="1:33" x14ac:dyDescent="0.3">
      <c r="A462" s="176" t="s">
        <v>938</v>
      </c>
      <c r="B462" s="176" t="s">
        <v>395</v>
      </c>
      <c r="C462" s="23" t="s">
        <v>34</v>
      </c>
      <c r="D462" s="23" t="s">
        <v>1715</v>
      </c>
      <c r="E462" s="25">
        <v>4186712695</v>
      </c>
      <c r="F462" s="188">
        <v>33961</v>
      </c>
      <c r="G462" s="23" t="s">
        <v>10</v>
      </c>
      <c r="H462" s="180">
        <v>34.843473833531426</v>
      </c>
      <c r="I462" s="188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</row>
    <row r="463" spans="1:33" x14ac:dyDescent="0.3">
      <c r="A463" s="176" t="s">
        <v>939</v>
      </c>
      <c r="B463" s="176" t="s">
        <v>940</v>
      </c>
      <c r="C463" s="23" t="s">
        <v>29</v>
      </c>
      <c r="D463" s="23" t="s">
        <v>1716</v>
      </c>
      <c r="E463" s="25">
        <v>9144084456</v>
      </c>
      <c r="F463" s="188">
        <v>28848</v>
      </c>
      <c r="G463" s="23" t="s">
        <v>6</v>
      </c>
      <c r="H463" s="180">
        <v>38.708945794610784</v>
      </c>
      <c r="I463" s="188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</row>
    <row r="464" spans="1:33" x14ac:dyDescent="0.3">
      <c r="A464" s="176" t="s">
        <v>941</v>
      </c>
      <c r="B464" s="176" t="s">
        <v>942</v>
      </c>
      <c r="C464" s="23" t="s">
        <v>17</v>
      </c>
      <c r="D464" s="23" t="s">
        <v>1717</v>
      </c>
      <c r="E464" s="25">
        <v>2078444054</v>
      </c>
      <c r="F464" s="188">
        <v>30631</v>
      </c>
      <c r="G464" s="23" t="s">
        <v>10</v>
      </c>
      <c r="H464" s="180">
        <v>35.683363670853375</v>
      </c>
      <c r="I464" s="188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</row>
    <row r="465" spans="1:33" x14ac:dyDescent="0.3">
      <c r="A465" s="176" t="s">
        <v>943</v>
      </c>
      <c r="B465" s="176" t="s">
        <v>944</v>
      </c>
      <c r="C465" s="23" t="s">
        <v>41</v>
      </c>
      <c r="D465" s="23" t="s">
        <v>1718</v>
      </c>
      <c r="E465" s="25">
        <v>9067803578</v>
      </c>
      <c r="F465" s="188">
        <v>28311</v>
      </c>
      <c r="G465" s="23" t="s">
        <v>10</v>
      </c>
      <c r="H465" s="180">
        <v>31.690365076536693</v>
      </c>
      <c r="I465" s="188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</row>
    <row r="466" spans="1:33" x14ac:dyDescent="0.3">
      <c r="A466" s="176" t="s">
        <v>945</v>
      </c>
      <c r="B466" s="176" t="s">
        <v>405</v>
      </c>
      <c r="C466" s="23" t="s">
        <v>28</v>
      </c>
      <c r="D466" s="23" t="s">
        <v>1719</v>
      </c>
      <c r="E466" s="25">
        <v>4195594427</v>
      </c>
      <c r="F466" s="188">
        <v>29702</v>
      </c>
      <c r="G466" s="23" t="s">
        <v>6</v>
      </c>
      <c r="H466" s="180">
        <v>36.235680554444215</v>
      </c>
      <c r="I466" s="188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</row>
    <row r="467" spans="1:33" x14ac:dyDescent="0.3">
      <c r="A467" s="176" t="s">
        <v>946</v>
      </c>
      <c r="B467" s="176" t="s">
        <v>453</v>
      </c>
      <c r="C467" s="23" t="s">
        <v>25</v>
      </c>
      <c r="D467" s="23" t="s">
        <v>1269</v>
      </c>
      <c r="E467" s="25">
        <v>7136699611</v>
      </c>
      <c r="F467" s="188">
        <v>32694</v>
      </c>
      <c r="G467" s="23" t="s">
        <v>6</v>
      </c>
      <c r="H467" s="180">
        <v>33.797624085798709</v>
      </c>
      <c r="I467" s="188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</row>
    <row r="468" spans="1:33" x14ac:dyDescent="0.3">
      <c r="A468" s="176" t="s">
        <v>947</v>
      </c>
      <c r="B468" s="176" t="s">
        <v>580</v>
      </c>
      <c r="C468" s="23" t="s">
        <v>28</v>
      </c>
      <c r="D468" s="23" t="s">
        <v>1720</v>
      </c>
      <c r="E468" s="25">
        <v>7151155509</v>
      </c>
      <c r="F468" s="188">
        <v>27859</v>
      </c>
      <c r="G468" s="23" t="s">
        <v>10</v>
      </c>
      <c r="H468" s="180">
        <v>30.039000074360189</v>
      </c>
      <c r="I468" s="18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</row>
    <row r="469" spans="1:33" x14ac:dyDescent="0.3">
      <c r="A469" s="176" t="s">
        <v>948</v>
      </c>
      <c r="B469" s="176" t="s">
        <v>279</v>
      </c>
      <c r="C469" s="23" t="s">
        <v>23</v>
      </c>
      <c r="D469" s="23" t="s">
        <v>1721</v>
      </c>
      <c r="E469" s="25">
        <v>3023392642</v>
      </c>
      <c r="F469" s="188">
        <v>27858</v>
      </c>
      <c r="G469" s="23" t="s">
        <v>6</v>
      </c>
      <c r="H469" s="180">
        <v>37.280787926349035</v>
      </c>
      <c r="I469" s="188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</row>
    <row r="470" spans="1:33" x14ac:dyDescent="0.3">
      <c r="A470" s="176" t="s">
        <v>949</v>
      </c>
      <c r="B470" s="176" t="s">
        <v>657</v>
      </c>
      <c r="C470" s="23" t="s">
        <v>23</v>
      </c>
      <c r="D470" s="23" t="s">
        <v>1722</v>
      </c>
      <c r="E470" s="25">
        <v>3033122083</v>
      </c>
      <c r="F470" s="188">
        <v>35747</v>
      </c>
      <c r="G470" s="23" t="s">
        <v>18</v>
      </c>
      <c r="H470" s="180">
        <v>32.485103990224523</v>
      </c>
      <c r="I470" s="188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</row>
    <row r="471" spans="1:33" x14ac:dyDescent="0.3">
      <c r="A471" s="176" t="s">
        <v>950</v>
      </c>
      <c r="B471" s="176" t="s">
        <v>405</v>
      </c>
      <c r="C471" s="23" t="s">
        <v>25</v>
      </c>
      <c r="D471" s="23" t="s">
        <v>1723</v>
      </c>
      <c r="E471" s="25">
        <v>7137560634</v>
      </c>
      <c r="F471" s="188">
        <v>29671</v>
      </c>
      <c r="G471" s="23" t="s">
        <v>10</v>
      </c>
      <c r="H471" s="180">
        <v>31.849609036473741</v>
      </c>
      <c r="I471" s="188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</row>
    <row r="472" spans="1:33" x14ac:dyDescent="0.3">
      <c r="A472" s="176" t="s">
        <v>951</v>
      </c>
      <c r="B472" s="176" t="s">
        <v>589</v>
      </c>
      <c r="C472" s="23" t="s">
        <v>9</v>
      </c>
      <c r="D472" s="23" t="s">
        <v>1724</v>
      </c>
      <c r="E472" s="25">
        <v>8064518022</v>
      </c>
      <c r="F472" s="188">
        <v>35708</v>
      </c>
      <c r="G472" s="23" t="s">
        <v>10</v>
      </c>
      <c r="H472" s="180">
        <v>32.920618573443882</v>
      </c>
      <c r="I472" s="188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</row>
    <row r="473" spans="1:33" x14ac:dyDescent="0.3">
      <c r="A473" s="176" t="s">
        <v>952</v>
      </c>
      <c r="B473" s="176" t="s">
        <v>516</v>
      </c>
      <c r="C473" s="23" t="s">
        <v>31</v>
      </c>
      <c r="D473" s="23" t="s">
        <v>1725</v>
      </c>
      <c r="E473" s="25">
        <v>6164907564</v>
      </c>
      <c r="F473" s="188">
        <v>28497</v>
      </c>
      <c r="G473" s="23" t="s">
        <v>10</v>
      </c>
      <c r="H473" s="180">
        <v>34.981281871262169</v>
      </c>
      <c r="I473" s="188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</row>
    <row r="474" spans="1:33" x14ac:dyDescent="0.3">
      <c r="A474" s="176" t="s">
        <v>953</v>
      </c>
      <c r="B474" s="176" t="s">
        <v>344</v>
      </c>
      <c r="C474" s="23" t="s">
        <v>30</v>
      </c>
      <c r="D474" s="23" t="s">
        <v>1726</v>
      </c>
      <c r="E474" s="25">
        <v>3043766803</v>
      </c>
      <c r="F474" s="188">
        <v>29369</v>
      </c>
      <c r="G474" s="23" t="s">
        <v>10</v>
      </c>
      <c r="H474" s="180">
        <v>32.608220614709225</v>
      </c>
      <c r="I474" s="188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</row>
    <row r="475" spans="1:33" x14ac:dyDescent="0.3">
      <c r="A475" s="176" t="s">
        <v>954</v>
      </c>
      <c r="B475" s="176" t="s">
        <v>395</v>
      </c>
      <c r="C475" s="23" t="s">
        <v>26</v>
      </c>
      <c r="D475" s="23" t="s">
        <v>1727</v>
      </c>
      <c r="E475" s="25">
        <v>9022244880</v>
      </c>
      <c r="F475" s="188">
        <v>29787</v>
      </c>
      <c r="G475" s="23" t="s">
        <v>10</v>
      </c>
      <c r="H475" s="180">
        <v>37.351234095864399</v>
      </c>
      <c r="I475" s="188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</row>
    <row r="476" spans="1:33" x14ac:dyDescent="0.3">
      <c r="A476" s="176" t="s">
        <v>955</v>
      </c>
      <c r="B476" s="176" t="s">
        <v>956</v>
      </c>
      <c r="C476" s="23" t="s">
        <v>9</v>
      </c>
      <c r="D476" s="23" t="s">
        <v>1728</v>
      </c>
      <c r="E476" s="25">
        <v>2196129939</v>
      </c>
      <c r="F476" s="188">
        <v>35194</v>
      </c>
      <c r="G476" s="23" t="s">
        <v>10</v>
      </c>
      <c r="H476" s="180">
        <v>30.871605199542131</v>
      </c>
      <c r="I476" s="188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</row>
    <row r="477" spans="1:33" x14ac:dyDescent="0.3">
      <c r="A477" s="176" t="s">
        <v>957</v>
      </c>
      <c r="B477" s="176" t="s">
        <v>322</v>
      </c>
      <c r="C477" s="23" t="s">
        <v>29</v>
      </c>
      <c r="D477" s="23" t="s">
        <v>1729</v>
      </c>
      <c r="E477" s="25">
        <v>2075442791</v>
      </c>
      <c r="F477" s="188">
        <v>28025</v>
      </c>
      <c r="G477" s="23" t="s">
        <v>10</v>
      </c>
      <c r="H477" s="180">
        <v>38.491830240383514</v>
      </c>
      <c r="I477" s="188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</row>
    <row r="478" spans="1:33" x14ac:dyDescent="0.3">
      <c r="A478" s="176" t="s">
        <v>958</v>
      </c>
      <c r="B478" s="176" t="s">
        <v>959</v>
      </c>
      <c r="C478" s="23" t="s">
        <v>9</v>
      </c>
      <c r="D478" s="23" t="s">
        <v>1730</v>
      </c>
      <c r="E478" s="25">
        <v>9146778600</v>
      </c>
      <c r="F478" s="188">
        <v>27920</v>
      </c>
      <c r="G478" s="23" t="s">
        <v>10</v>
      </c>
      <c r="H478" s="180">
        <v>35.090966820547933</v>
      </c>
      <c r="I478" s="18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</row>
    <row r="479" spans="1:33" x14ac:dyDescent="0.3">
      <c r="A479" s="176" t="s">
        <v>960</v>
      </c>
      <c r="B479" s="176" t="s">
        <v>961</v>
      </c>
      <c r="C479" s="23" t="s">
        <v>17</v>
      </c>
      <c r="D479" s="23" t="s">
        <v>1731</v>
      </c>
      <c r="E479" s="25">
        <v>5117692593</v>
      </c>
      <c r="F479" s="188">
        <v>28613</v>
      </c>
      <c r="G479" s="23" t="s">
        <v>10</v>
      </c>
      <c r="H479" s="180">
        <v>36.585844861794399</v>
      </c>
      <c r="I479" s="188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</row>
    <row r="480" spans="1:33" x14ac:dyDescent="0.3">
      <c r="A480" s="176" t="s">
        <v>962</v>
      </c>
      <c r="B480" s="176" t="s">
        <v>712</v>
      </c>
      <c r="C480" s="23" t="s">
        <v>9</v>
      </c>
      <c r="D480" s="23" t="s">
        <v>1732</v>
      </c>
      <c r="E480" s="25">
        <v>5048560698</v>
      </c>
      <c r="F480" s="188">
        <v>28933</v>
      </c>
      <c r="G480" s="23" t="s">
        <v>6</v>
      </c>
      <c r="H480" s="180">
        <v>34.784291678534245</v>
      </c>
      <c r="I480" s="188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</row>
    <row r="481" spans="1:33" x14ac:dyDescent="0.3">
      <c r="A481" s="176" t="s">
        <v>963</v>
      </c>
      <c r="B481" s="176" t="s">
        <v>732</v>
      </c>
      <c r="C481" s="23" t="s">
        <v>9</v>
      </c>
      <c r="D481" s="23" t="s">
        <v>1733</v>
      </c>
      <c r="E481" s="25">
        <v>6066088101</v>
      </c>
      <c r="F481" s="188">
        <v>29787</v>
      </c>
      <c r="G481" s="23" t="s">
        <v>18</v>
      </c>
      <c r="H481" s="180">
        <v>34.056137165419145</v>
      </c>
      <c r="I481" s="188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</row>
    <row r="482" spans="1:33" x14ac:dyDescent="0.3">
      <c r="A482" s="176" t="s">
        <v>964</v>
      </c>
      <c r="B482" s="176" t="s">
        <v>613</v>
      </c>
      <c r="C482" s="23" t="s">
        <v>9</v>
      </c>
      <c r="D482" s="23" t="s">
        <v>1734</v>
      </c>
      <c r="E482" s="25">
        <v>5193936198</v>
      </c>
      <c r="F482" s="188">
        <v>30496</v>
      </c>
      <c r="G482" s="23" t="s">
        <v>33</v>
      </c>
      <c r="H482" s="180">
        <v>34.2763810780746</v>
      </c>
      <c r="I482" s="188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</row>
    <row r="483" spans="1:33" x14ac:dyDescent="0.3">
      <c r="A483" s="176" t="s">
        <v>965</v>
      </c>
      <c r="B483" s="176" t="s">
        <v>344</v>
      </c>
      <c r="C483" s="23" t="s">
        <v>25</v>
      </c>
      <c r="D483" s="23" t="s">
        <v>1735</v>
      </c>
      <c r="E483" s="25">
        <v>6084562999</v>
      </c>
      <c r="F483" s="188">
        <v>34693</v>
      </c>
      <c r="G483" s="23" t="s">
        <v>18</v>
      </c>
      <c r="H483" s="180">
        <v>37.409396346139175</v>
      </c>
      <c r="I483" s="188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</row>
    <row r="484" spans="1:33" x14ac:dyDescent="0.3">
      <c r="A484" s="176" t="s">
        <v>966</v>
      </c>
      <c r="B484" s="176" t="s">
        <v>405</v>
      </c>
      <c r="C484" s="23" t="s">
        <v>28</v>
      </c>
      <c r="D484" s="23" t="s">
        <v>1736</v>
      </c>
      <c r="E484" s="25">
        <v>4183498222</v>
      </c>
      <c r="F484" s="188">
        <v>29899</v>
      </c>
      <c r="G484" s="23" t="s">
        <v>6</v>
      </c>
      <c r="H484" s="180">
        <v>37.554937104432902</v>
      </c>
      <c r="I484" s="188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</row>
    <row r="485" spans="1:33" x14ac:dyDescent="0.3">
      <c r="A485" s="176" t="s">
        <v>967</v>
      </c>
      <c r="B485" s="176" t="s">
        <v>395</v>
      </c>
      <c r="C485" s="23" t="s">
        <v>9</v>
      </c>
      <c r="D485" s="23" t="s">
        <v>1737</v>
      </c>
      <c r="E485" s="25">
        <v>8052380636</v>
      </c>
      <c r="F485" s="188">
        <v>33339</v>
      </c>
      <c r="G485" s="23" t="s">
        <v>10</v>
      </c>
      <c r="H485" s="180">
        <v>35.682644744323795</v>
      </c>
      <c r="I485" s="188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</row>
    <row r="486" spans="1:33" x14ac:dyDescent="0.3">
      <c r="A486" s="176" t="s">
        <v>968</v>
      </c>
      <c r="B486" s="176" t="s">
        <v>969</v>
      </c>
      <c r="C486" s="23" t="s">
        <v>25</v>
      </c>
      <c r="D486" s="23" t="s">
        <v>1738</v>
      </c>
      <c r="E486" s="25">
        <v>6096098293</v>
      </c>
      <c r="F486" s="188">
        <v>34836</v>
      </c>
      <c r="G486" s="23" t="s">
        <v>33</v>
      </c>
      <c r="H486" s="180">
        <v>33.869716160238141</v>
      </c>
      <c r="I486" s="188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</row>
    <row r="487" spans="1:33" x14ac:dyDescent="0.3">
      <c r="A487" s="176" t="s">
        <v>970</v>
      </c>
      <c r="B487" s="176" t="s">
        <v>283</v>
      </c>
      <c r="C487" s="23" t="s">
        <v>23</v>
      </c>
      <c r="D487" s="23" t="s">
        <v>1739</v>
      </c>
      <c r="E487" s="25">
        <v>6145866887</v>
      </c>
      <c r="F487" s="188">
        <v>30039</v>
      </c>
      <c r="G487" s="23" t="s">
        <v>10</v>
      </c>
      <c r="H487" s="180">
        <v>30.987503360036733</v>
      </c>
      <c r="I487" s="188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</row>
    <row r="488" spans="1:33" x14ac:dyDescent="0.3">
      <c r="A488" s="176" t="s">
        <v>971</v>
      </c>
      <c r="B488" s="176" t="s">
        <v>972</v>
      </c>
      <c r="C488" s="23" t="s">
        <v>5</v>
      </c>
      <c r="D488" s="23" t="s">
        <v>1740</v>
      </c>
      <c r="E488" s="25">
        <v>6082604602</v>
      </c>
      <c r="F488" s="188">
        <v>29379</v>
      </c>
      <c r="G488" s="23" t="s">
        <v>10</v>
      </c>
      <c r="H488" s="180">
        <v>39.770213731560141</v>
      </c>
      <c r="I488" s="1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</row>
    <row r="489" spans="1:33" x14ac:dyDescent="0.3">
      <c r="A489" s="176" t="s">
        <v>973</v>
      </c>
      <c r="B489" s="176" t="s">
        <v>577</v>
      </c>
      <c r="C489" s="23" t="s">
        <v>28</v>
      </c>
      <c r="D489" s="23" t="s">
        <v>1741</v>
      </c>
      <c r="E489" s="25">
        <v>5198006736</v>
      </c>
      <c r="F489" s="188">
        <v>35625</v>
      </c>
      <c r="G489" s="23" t="s">
        <v>10</v>
      </c>
      <c r="H489" s="180">
        <v>39.984972570212278</v>
      </c>
      <c r="I489" s="188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</row>
    <row r="490" spans="1:33" x14ac:dyDescent="0.3">
      <c r="A490" s="176" t="s">
        <v>974</v>
      </c>
      <c r="B490" s="176" t="s">
        <v>975</v>
      </c>
      <c r="C490" s="23" t="s">
        <v>40</v>
      </c>
      <c r="D490" s="23" t="s">
        <v>1742</v>
      </c>
      <c r="E490" s="25">
        <v>6063631883</v>
      </c>
      <c r="F490" s="188">
        <v>29487</v>
      </c>
      <c r="G490" s="23" t="s">
        <v>18</v>
      </c>
      <c r="H490" s="180">
        <v>37.665023154687688</v>
      </c>
      <c r="I490" s="188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</row>
    <row r="491" spans="1:33" x14ac:dyDescent="0.3">
      <c r="A491" s="176" t="s">
        <v>976</v>
      </c>
      <c r="B491" s="176" t="s">
        <v>775</v>
      </c>
      <c r="C491" s="23" t="s">
        <v>23</v>
      </c>
      <c r="D491" s="23" t="s">
        <v>1743</v>
      </c>
      <c r="E491" s="25">
        <v>5161847141</v>
      </c>
      <c r="F491" s="188">
        <v>28537</v>
      </c>
      <c r="G491" s="23" t="s">
        <v>33</v>
      </c>
      <c r="H491" s="180">
        <v>38.016134065845037</v>
      </c>
      <c r="I491" s="188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</row>
    <row r="492" spans="1:33" x14ac:dyDescent="0.3">
      <c r="A492" s="176" t="s">
        <v>977</v>
      </c>
      <c r="B492" s="176" t="s">
        <v>978</v>
      </c>
      <c r="C492" s="23" t="s">
        <v>27</v>
      </c>
      <c r="D492" s="23" t="s">
        <v>1744</v>
      </c>
      <c r="E492" s="25">
        <v>2021888279</v>
      </c>
      <c r="F492" s="188">
        <v>30367</v>
      </c>
      <c r="G492" s="23" t="s">
        <v>10</v>
      </c>
      <c r="H492" s="180">
        <v>34.138833750652992</v>
      </c>
      <c r="I492" s="188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</row>
    <row r="493" spans="1:33" x14ac:dyDescent="0.3">
      <c r="A493" s="176" t="s">
        <v>979</v>
      </c>
      <c r="B493" s="176" t="s">
        <v>497</v>
      </c>
      <c r="C493" s="23" t="s">
        <v>9</v>
      </c>
      <c r="D493" s="23" t="s">
        <v>1745</v>
      </c>
      <c r="E493" s="25">
        <v>5073164024</v>
      </c>
      <c r="F493" s="188">
        <v>31933</v>
      </c>
      <c r="G493" s="23" t="s">
        <v>10</v>
      </c>
      <c r="H493" s="180">
        <v>34.107104966565963</v>
      </c>
      <c r="I493" s="188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</row>
    <row r="494" spans="1:33" x14ac:dyDescent="0.3">
      <c r="A494" s="176" t="s">
        <v>980</v>
      </c>
      <c r="B494" s="176" t="s">
        <v>981</v>
      </c>
      <c r="C494" s="23" t="s">
        <v>40</v>
      </c>
      <c r="D494" s="23" t="s">
        <v>1492</v>
      </c>
      <c r="E494" s="25">
        <v>9135777345</v>
      </c>
      <c r="F494" s="188">
        <v>32417</v>
      </c>
      <c r="G494" s="23" t="s">
        <v>6</v>
      </c>
      <c r="H494" s="180">
        <v>36.472242647689491</v>
      </c>
      <c r="I494" s="188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</row>
    <row r="495" spans="1:33" x14ac:dyDescent="0.3">
      <c r="A495" s="176" t="s">
        <v>175</v>
      </c>
      <c r="B495" s="176" t="s">
        <v>982</v>
      </c>
      <c r="C495" s="23" t="s">
        <v>36</v>
      </c>
      <c r="D495" s="23" t="s">
        <v>1746</v>
      </c>
      <c r="E495" s="25">
        <v>9132256131</v>
      </c>
      <c r="F495" s="188">
        <v>32648</v>
      </c>
      <c r="G495" s="23" t="s">
        <v>10</v>
      </c>
      <c r="H495" s="180">
        <v>30.156556731603132</v>
      </c>
      <c r="I495" s="188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</row>
    <row r="496" spans="1:33" x14ac:dyDescent="0.3">
      <c r="A496" s="176" t="s">
        <v>983</v>
      </c>
      <c r="B496" s="176" t="s">
        <v>984</v>
      </c>
      <c r="C496" s="23" t="s">
        <v>23</v>
      </c>
      <c r="D496" s="23" t="s">
        <v>1747</v>
      </c>
      <c r="E496" s="25">
        <v>4052387348</v>
      </c>
      <c r="F496" s="188">
        <v>32663</v>
      </c>
      <c r="G496" s="23" t="s">
        <v>33</v>
      </c>
      <c r="H496" s="180">
        <v>32.652012339572728</v>
      </c>
      <c r="I496" s="188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</row>
    <row r="497" spans="1:33" x14ac:dyDescent="0.3">
      <c r="A497" s="176" t="s">
        <v>985</v>
      </c>
      <c r="B497" s="176" t="s">
        <v>986</v>
      </c>
      <c r="C497" s="23" t="s">
        <v>23</v>
      </c>
      <c r="D497" s="23" t="s">
        <v>1748</v>
      </c>
      <c r="E497" s="25">
        <v>9024373324</v>
      </c>
      <c r="F497" s="188">
        <v>32789</v>
      </c>
      <c r="G497" s="23" t="s">
        <v>10</v>
      </c>
      <c r="H497" s="180">
        <v>31.070054126076339</v>
      </c>
      <c r="I497" s="188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</row>
    <row r="498" spans="1:33" x14ac:dyDescent="0.3">
      <c r="A498" s="176" t="s">
        <v>987</v>
      </c>
      <c r="B498" s="176" t="s">
        <v>712</v>
      </c>
      <c r="C498" s="23" t="s">
        <v>31</v>
      </c>
      <c r="D498" s="23" t="s">
        <v>1749</v>
      </c>
      <c r="E498" s="25">
        <v>5168611970</v>
      </c>
      <c r="F498" s="188">
        <v>32694</v>
      </c>
      <c r="G498" s="23" t="s">
        <v>18</v>
      </c>
      <c r="H498" s="180">
        <v>35.40033657983745</v>
      </c>
      <c r="I498" s="18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</row>
    <row r="499" spans="1:33" x14ac:dyDescent="0.3">
      <c r="A499" s="176" t="s">
        <v>988</v>
      </c>
      <c r="B499" s="176" t="s">
        <v>271</v>
      </c>
      <c r="C499" s="23" t="s">
        <v>17</v>
      </c>
      <c r="D499" s="23" t="s">
        <v>1750</v>
      </c>
      <c r="E499" s="25">
        <v>4132400087</v>
      </c>
      <c r="F499" s="188">
        <v>27859</v>
      </c>
      <c r="G499" s="23" t="s">
        <v>6</v>
      </c>
      <c r="H499" s="180">
        <v>37.879997483025811</v>
      </c>
      <c r="I499" s="188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</row>
    <row r="500" spans="1:33" x14ac:dyDescent="0.3">
      <c r="A500" s="176" t="s">
        <v>989</v>
      </c>
      <c r="B500" s="176" t="s">
        <v>990</v>
      </c>
      <c r="C500" s="23" t="s">
        <v>40</v>
      </c>
      <c r="D500" s="23" t="s">
        <v>1751</v>
      </c>
      <c r="E500" s="25">
        <v>7093123940</v>
      </c>
      <c r="F500" s="188">
        <v>27858</v>
      </c>
      <c r="G500" s="23" t="s">
        <v>6</v>
      </c>
      <c r="H500" s="180">
        <v>33.493684642522766</v>
      </c>
      <c r="I500" s="188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</row>
    <row r="501" spans="1:33" x14ac:dyDescent="0.3">
      <c r="A501" s="176" t="s">
        <v>991</v>
      </c>
      <c r="B501" s="176" t="s">
        <v>395</v>
      </c>
      <c r="C501" s="23" t="s">
        <v>9</v>
      </c>
      <c r="D501" s="23" t="s">
        <v>1752</v>
      </c>
      <c r="E501" s="25">
        <v>7176844371</v>
      </c>
      <c r="F501" s="188">
        <v>35747</v>
      </c>
      <c r="G501" s="23" t="s">
        <v>10</v>
      </c>
      <c r="H501" s="180">
        <v>39.344919851647383</v>
      </c>
      <c r="I501" s="188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</row>
    <row r="502" spans="1:33" x14ac:dyDescent="0.3">
      <c r="A502" s="176" t="s">
        <v>992</v>
      </c>
      <c r="B502" s="176" t="s">
        <v>913</v>
      </c>
      <c r="C502" s="23" t="s">
        <v>5</v>
      </c>
      <c r="D502" s="23" t="s">
        <v>1753</v>
      </c>
      <c r="E502" s="25">
        <v>7165268508</v>
      </c>
      <c r="F502" s="188">
        <v>29671</v>
      </c>
      <c r="G502" s="23" t="s">
        <v>6</v>
      </c>
      <c r="H502" s="180">
        <v>32.927898521946595</v>
      </c>
      <c r="I502" s="188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</row>
    <row r="503" spans="1:33" x14ac:dyDescent="0.3">
      <c r="A503" s="176" t="s">
        <v>993</v>
      </c>
      <c r="B503" s="176" t="s">
        <v>994</v>
      </c>
      <c r="C503" s="23" t="s">
        <v>9</v>
      </c>
      <c r="D503" s="23" t="s">
        <v>1754</v>
      </c>
      <c r="E503" s="25">
        <v>8122601200</v>
      </c>
      <c r="F503" s="188">
        <v>35708</v>
      </c>
      <c r="G503" s="23" t="s">
        <v>6</v>
      </c>
      <c r="H503" s="180">
        <v>38.884025593372698</v>
      </c>
      <c r="I503" s="188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</row>
    <row r="504" spans="1:33" x14ac:dyDescent="0.3">
      <c r="A504" s="176" t="s">
        <v>995</v>
      </c>
      <c r="B504" s="176" t="s">
        <v>996</v>
      </c>
      <c r="C504" s="23" t="s">
        <v>17</v>
      </c>
      <c r="D504" s="23" t="s">
        <v>1755</v>
      </c>
      <c r="E504" s="25">
        <v>3064900514</v>
      </c>
      <c r="F504" s="188">
        <v>28497</v>
      </c>
      <c r="G504" s="23" t="s">
        <v>6</v>
      </c>
      <c r="H504" s="180">
        <v>37.7545926077403</v>
      </c>
      <c r="I504" s="188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</row>
    <row r="505" spans="1:33" x14ac:dyDescent="0.3">
      <c r="A505" s="176" t="s">
        <v>997</v>
      </c>
      <c r="B505" s="176" t="s">
        <v>836</v>
      </c>
      <c r="C505" s="23" t="s">
        <v>23</v>
      </c>
      <c r="D505" s="23" t="s">
        <v>1756</v>
      </c>
      <c r="E505" s="25">
        <v>4048792521</v>
      </c>
      <c r="F505" s="188">
        <v>29369</v>
      </c>
      <c r="G505" s="23" t="s">
        <v>6</v>
      </c>
      <c r="H505" s="180">
        <v>38.658856856477257</v>
      </c>
      <c r="I505" s="188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</row>
    <row r="506" spans="1:33" x14ac:dyDescent="0.3">
      <c r="A506" s="176" t="s">
        <v>998</v>
      </c>
      <c r="B506" s="176" t="s">
        <v>999</v>
      </c>
      <c r="C506" s="23" t="s">
        <v>9</v>
      </c>
      <c r="D506" s="23" t="s">
        <v>1757</v>
      </c>
      <c r="E506" s="25">
        <v>7134982487</v>
      </c>
      <c r="F506" s="188">
        <v>29787</v>
      </c>
      <c r="G506" s="23" t="s">
        <v>6</v>
      </c>
      <c r="H506" s="180">
        <v>37.491966595607316</v>
      </c>
      <c r="I506" s="188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</row>
    <row r="507" spans="1:33" x14ac:dyDescent="0.3">
      <c r="A507" s="176" t="s">
        <v>1000</v>
      </c>
      <c r="B507" s="176" t="s">
        <v>1001</v>
      </c>
      <c r="C507" s="23" t="s">
        <v>17</v>
      </c>
      <c r="D507" s="23" t="s">
        <v>1758</v>
      </c>
      <c r="E507" s="25">
        <v>4161549933</v>
      </c>
      <c r="F507" s="188">
        <v>35194</v>
      </c>
      <c r="G507" s="23" t="s">
        <v>6</v>
      </c>
      <c r="H507" s="180">
        <v>36.785896305831976</v>
      </c>
      <c r="I507" s="188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</row>
    <row r="508" spans="1:33" x14ac:dyDescent="0.3">
      <c r="A508" s="176" t="s">
        <v>1002</v>
      </c>
      <c r="B508" s="176" t="s">
        <v>1003</v>
      </c>
      <c r="C508" s="23" t="s">
        <v>26</v>
      </c>
      <c r="D508" s="23" t="s">
        <v>1759</v>
      </c>
      <c r="E508" s="25">
        <v>9032304625</v>
      </c>
      <c r="F508" s="188">
        <v>28025</v>
      </c>
      <c r="G508" s="23" t="s">
        <v>33</v>
      </c>
      <c r="H508" s="180">
        <v>32.350507507101433</v>
      </c>
      <c r="I508" s="18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</row>
    <row r="509" spans="1:33" x14ac:dyDescent="0.3">
      <c r="A509" s="176" t="s">
        <v>1004</v>
      </c>
      <c r="B509" s="176" t="s">
        <v>1005</v>
      </c>
      <c r="C509" s="23" t="s">
        <v>5</v>
      </c>
      <c r="D509" s="23" t="s">
        <v>1760</v>
      </c>
      <c r="E509" s="25">
        <v>3138407416</v>
      </c>
      <c r="F509" s="188">
        <v>27920</v>
      </c>
      <c r="G509" s="23" t="s">
        <v>10</v>
      </c>
      <c r="H509" s="180">
        <v>34.540336535533392</v>
      </c>
      <c r="I509" s="188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</row>
    <row r="510" spans="1:33" x14ac:dyDescent="0.3">
      <c r="A510" s="176" t="s">
        <v>1006</v>
      </c>
      <c r="B510" s="176" t="s">
        <v>1007</v>
      </c>
      <c r="C510" s="23" t="s">
        <v>9</v>
      </c>
      <c r="D510" s="23" t="s">
        <v>1761</v>
      </c>
      <c r="E510" s="25">
        <v>2138669137</v>
      </c>
      <c r="F510" s="188">
        <v>28613</v>
      </c>
      <c r="G510" s="23" t="s">
        <v>10</v>
      </c>
      <c r="H510" s="180">
        <v>36.440862421564347</v>
      </c>
      <c r="I510" s="188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</row>
    <row r="511" spans="1:33" x14ac:dyDescent="0.3">
      <c r="A511" s="176" t="s">
        <v>1008</v>
      </c>
      <c r="B511" s="176" t="s">
        <v>1009</v>
      </c>
      <c r="C511" s="23" t="s">
        <v>26</v>
      </c>
      <c r="D511" s="23" t="s">
        <v>1762</v>
      </c>
      <c r="E511" s="25">
        <v>2048217409</v>
      </c>
      <c r="F511" s="188">
        <v>28933</v>
      </c>
      <c r="G511" s="23" t="s">
        <v>33</v>
      </c>
      <c r="H511" s="180">
        <v>37.039023559568683</v>
      </c>
      <c r="I511" s="188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</row>
    <row r="512" spans="1:33" x14ac:dyDescent="0.3">
      <c r="A512" s="176" t="s">
        <v>1010</v>
      </c>
      <c r="B512" s="176" t="s">
        <v>462</v>
      </c>
      <c r="C512" s="23" t="s">
        <v>27</v>
      </c>
      <c r="D512" s="23" t="s">
        <v>1763</v>
      </c>
      <c r="E512" s="25">
        <v>6023324762</v>
      </c>
      <c r="F512" s="188">
        <v>29787</v>
      </c>
      <c r="G512" s="23" t="s">
        <v>6</v>
      </c>
      <c r="H512" s="180">
        <v>32.304479826206695</v>
      </c>
      <c r="I512" s="188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</row>
    <row r="513" spans="1:33" x14ac:dyDescent="0.3">
      <c r="A513" s="176" t="s">
        <v>1011</v>
      </c>
      <c r="B513" s="176" t="s">
        <v>357</v>
      </c>
      <c r="C513" s="23" t="s">
        <v>9</v>
      </c>
      <c r="D513" s="23" t="s">
        <v>1764</v>
      </c>
      <c r="E513" s="25">
        <v>5137188067</v>
      </c>
      <c r="F513" s="188">
        <v>30496</v>
      </c>
      <c r="G513" s="23" t="s">
        <v>6</v>
      </c>
      <c r="H513" s="180">
        <v>36.37013989391113</v>
      </c>
      <c r="I513" s="188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</row>
    <row r="514" spans="1:33" x14ac:dyDescent="0.3">
      <c r="A514" s="176" t="s">
        <v>1012</v>
      </c>
      <c r="B514" s="176" t="s">
        <v>1013</v>
      </c>
      <c r="C514" s="23" t="s">
        <v>23</v>
      </c>
      <c r="D514" s="23" t="s">
        <v>1765</v>
      </c>
      <c r="E514" s="25">
        <v>2155829090</v>
      </c>
      <c r="F514" s="188">
        <v>34693</v>
      </c>
      <c r="G514" s="23" t="s">
        <v>6</v>
      </c>
      <c r="H514" s="180">
        <v>30.000563776299288</v>
      </c>
      <c r="I514" s="188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</row>
    <row r="515" spans="1:33" x14ac:dyDescent="0.3">
      <c r="A515" s="176" t="s">
        <v>1014</v>
      </c>
      <c r="B515" s="176" t="s">
        <v>528</v>
      </c>
      <c r="C515" s="23" t="s">
        <v>5</v>
      </c>
      <c r="D515" s="23" t="s">
        <v>1766</v>
      </c>
      <c r="E515" s="25">
        <v>9125981242</v>
      </c>
      <c r="F515" s="188">
        <v>29899</v>
      </c>
      <c r="G515" s="23" t="s">
        <v>10</v>
      </c>
      <c r="H515" s="180">
        <v>39.285256669630193</v>
      </c>
      <c r="I515" s="188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</row>
    <row r="516" spans="1:33" x14ac:dyDescent="0.3">
      <c r="A516" s="176" t="s">
        <v>1015</v>
      </c>
      <c r="B516" s="176" t="s">
        <v>1016</v>
      </c>
      <c r="C516" s="23" t="s">
        <v>5</v>
      </c>
      <c r="D516" s="23" t="s">
        <v>1767</v>
      </c>
      <c r="E516" s="25">
        <v>9116690862</v>
      </c>
      <c r="F516" s="188">
        <v>33339</v>
      </c>
      <c r="G516" s="23" t="s">
        <v>10</v>
      </c>
      <c r="H516" s="180">
        <v>32.415882106066405</v>
      </c>
      <c r="I516" s="188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</row>
    <row r="517" spans="1:33" x14ac:dyDescent="0.3">
      <c r="A517" s="176" t="s">
        <v>1017</v>
      </c>
      <c r="B517" s="176" t="s">
        <v>519</v>
      </c>
      <c r="C517" s="23" t="s">
        <v>32</v>
      </c>
      <c r="D517" s="23" t="s">
        <v>1768</v>
      </c>
      <c r="E517" s="25">
        <v>5123182167</v>
      </c>
      <c r="F517" s="188">
        <v>34836</v>
      </c>
      <c r="G517" s="23" t="s">
        <v>6</v>
      </c>
      <c r="H517" s="180">
        <v>38.327212371731697</v>
      </c>
      <c r="I517" s="188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</row>
    <row r="518" spans="1:33" x14ac:dyDescent="0.3">
      <c r="A518" s="176" t="s">
        <v>1018</v>
      </c>
      <c r="B518" s="176" t="s">
        <v>408</v>
      </c>
      <c r="C518" s="23" t="s">
        <v>31</v>
      </c>
      <c r="D518" s="23" t="s">
        <v>1539</v>
      </c>
      <c r="E518" s="25">
        <v>2046114005</v>
      </c>
      <c r="F518" s="188">
        <v>30039</v>
      </c>
      <c r="G518" s="23" t="s">
        <v>6</v>
      </c>
      <c r="H518" s="180">
        <v>35.196404853923369</v>
      </c>
      <c r="I518" s="18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</row>
    <row r="519" spans="1:33" x14ac:dyDescent="0.3">
      <c r="A519" s="176" t="s">
        <v>1019</v>
      </c>
      <c r="B519" s="176" t="s">
        <v>1020</v>
      </c>
      <c r="C519" s="23" t="s">
        <v>17</v>
      </c>
      <c r="D519" s="23" t="s">
        <v>1769</v>
      </c>
      <c r="E519" s="25">
        <v>5018405552</v>
      </c>
      <c r="F519" s="188">
        <v>29379</v>
      </c>
      <c r="G519" s="23" t="s">
        <v>10</v>
      </c>
      <c r="H519" s="180">
        <v>35.436181000092787</v>
      </c>
      <c r="I519" s="188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</row>
    <row r="520" spans="1:33" x14ac:dyDescent="0.3">
      <c r="A520" s="176" t="s">
        <v>1021</v>
      </c>
      <c r="B520" s="176" t="s">
        <v>577</v>
      </c>
      <c r="C520" s="23" t="s">
        <v>5</v>
      </c>
      <c r="D520" s="23" t="s">
        <v>1770</v>
      </c>
      <c r="E520" s="25">
        <v>7075220001</v>
      </c>
      <c r="F520" s="188">
        <v>35625</v>
      </c>
      <c r="G520" s="23" t="s">
        <v>10</v>
      </c>
      <c r="H520" s="180">
        <v>37.830822084834921</v>
      </c>
      <c r="I520" s="188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</row>
    <row r="521" spans="1:33" x14ac:dyDescent="0.3">
      <c r="A521" s="176" t="s">
        <v>1022</v>
      </c>
      <c r="B521" s="176" t="s">
        <v>342</v>
      </c>
      <c r="C521" s="23" t="s">
        <v>17</v>
      </c>
      <c r="D521" s="23" t="s">
        <v>1771</v>
      </c>
      <c r="E521" s="25">
        <v>8042344526</v>
      </c>
      <c r="F521" s="188">
        <v>29487</v>
      </c>
      <c r="G521" s="23" t="s">
        <v>10</v>
      </c>
      <c r="H521" s="180">
        <v>35.448231372580707</v>
      </c>
      <c r="I521" s="188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</row>
    <row r="522" spans="1:33" x14ac:dyDescent="0.3">
      <c r="A522" s="176" t="s">
        <v>1023</v>
      </c>
      <c r="B522" s="176" t="s">
        <v>275</v>
      </c>
      <c r="C522" s="23" t="s">
        <v>25</v>
      </c>
      <c r="D522" s="23" t="s">
        <v>1772</v>
      </c>
      <c r="E522" s="25">
        <v>9141682521</v>
      </c>
      <c r="F522" s="188">
        <v>28537</v>
      </c>
      <c r="G522" s="23" t="s">
        <v>6</v>
      </c>
      <c r="H522" s="180">
        <v>33.123774349767139</v>
      </c>
      <c r="I522" s="188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</row>
    <row r="523" spans="1:33" x14ac:dyDescent="0.3">
      <c r="A523" s="176" t="s">
        <v>1024</v>
      </c>
      <c r="B523" s="176" t="s">
        <v>285</v>
      </c>
      <c r="C523" s="23" t="s">
        <v>23</v>
      </c>
      <c r="D523" s="23" t="s">
        <v>1773</v>
      </c>
      <c r="E523" s="25">
        <v>8073909820</v>
      </c>
      <c r="F523" s="188">
        <v>30367</v>
      </c>
      <c r="G523" s="23" t="s">
        <v>6</v>
      </c>
      <c r="H523" s="180">
        <v>31.55374593834852</v>
      </c>
      <c r="I523" s="188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</row>
    <row r="524" spans="1:33" x14ac:dyDescent="0.3">
      <c r="A524" s="176" t="s">
        <v>1025</v>
      </c>
      <c r="B524" s="176" t="s">
        <v>1026</v>
      </c>
      <c r="C524" s="23" t="s">
        <v>30</v>
      </c>
      <c r="D524" s="23" t="s">
        <v>1774</v>
      </c>
      <c r="E524" s="25">
        <v>4017469217</v>
      </c>
      <c r="F524" s="188">
        <v>31933</v>
      </c>
      <c r="G524" s="23" t="s">
        <v>10</v>
      </c>
      <c r="H524" s="180">
        <v>31.83967791366846</v>
      </c>
      <c r="I524" s="188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</row>
    <row r="525" spans="1:33" x14ac:dyDescent="0.3">
      <c r="A525" s="176" t="s">
        <v>1027</v>
      </c>
      <c r="B525" s="176" t="s">
        <v>279</v>
      </c>
      <c r="C525" s="23" t="s">
        <v>25</v>
      </c>
      <c r="D525" s="23" t="s">
        <v>1775</v>
      </c>
      <c r="E525" s="25">
        <v>6165717431</v>
      </c>
      <c r="F525" s="188">
        <v>32417</v>
      </c>
      <c r="G525" s="23" t="s">
        <v>10</v>
      </c>
      <c r="H525" s="180">
        <v>37.522286910703045</v>
      </c>
      <c r="I525" s="188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</row>
    <row r="526" spans="1:33" x14ac:dyDescent="0.3">
      <c r="A526" s="176" t="s">
        <v>1028</v>
      </c>
      <c r="B526" s="176" t="s">
        <v>351</v>
      </c>
      <c r="C526" s="23" t="s">
        <v>5</v>
      </c>
      <c r="D526" s="23" t="s">
        <v>1776</v>
      </c>
      <c r="E526" s="25">
        <v>5196053287</v>
      </c>
      <c r="F526" s="188">
        <v>32648</v>
      </c>
      <c r="G526" s="23" t="s">
        <v>6</v>
      </c>
      <c r="H526" s="180">
        <v>31.844776037426374</v>
      </c>
      <c r="I526" s="188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</row>
    <row r="527" spans="1:33" x14ac:dyDescent="0.3">
      <c r="A527" s="176" t="s">
        <v>1029</v>
      </c>
      <c r="B527" s="176" t="s">
        <v>535</v>
      </c>
      <c r="C527" s="23" t="s">
        <v>36</v>
      </c>
      <c r="D527" s="23" t="s">
        <v>1777</v>
      </c>
      <c r="E527" s="25">
        <v>5155990200</v>
      </c>
      <c r="F527" s="188">
        <v>32663</v>
      </c>
      <c r="G527" s="23" t="s">
        <v>10</v>
      </c>
      <c r="H527" s="180">
        <v>32.420524680031775</v>
      </c>
      <c r="I527" s="188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</row>
    <row r="528" spans="1:33" x14ac:dyDescent="0.3">
      <c r="A528" s="176" t="s">
        <v>1030</v>
      </c>
      <c r="B528" s="176" t="s">
        <v>1031</v>
      </c>
      <c r="C528" s="23" t="s">
        <v>25</v>
      </c>
      <c r="D528" s="23" t="s">
        <v>1778</v>
      </c>
      <c r="E528" s="25">
        <v>5041246633</v>
      </c>
      <c r="F528" s="188">
        <v>32789</v>
      </c>
      <c r="G528" s="23" t="s">
        <v>33</v>
      </c>
      <c r="H528" s="180">
        <v>37.878784766500516</v>
      </c>
      <c r="I528" s="18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</row>
    <row r="529" spans="1:33" x14ac:dyDescent="0.3">
      <c r="A529" s="176" t="s">
        <v>1032</v>
      </c>
      <c r="B529" s="176" t="s">
        <v>1033</v>
      </c>
      <c r="C529" s="23" t="s">
        <v>9</v>
      </c>
      <c r="D529" s="23" t="s">
        <v>1440</v>
      </c>
      <c r="E529" s="25">
        <v>9166458440</v>
      </c>
      <c r="F529" s="188">
        <v>30152</v>
      </c>
      <c r="G529" s="23" t="s">
        <v>10</v>
      </c>
      <c r="H529" s="180">
        <v>38.821280233936378</v>
      </c>
      <c r="I529" s="188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</row>
    <row r="530" spans="1:33" x14ac:dyDescent="0.3">
      <c r="A530" s="176" t="s">
        <v>1034</v>
      </c>
      <c r="B530" s="176" t="s">
        <v>1035</v>
      </c>
      <c r="C530" s="23" t="s">
        <v>9</v>
      </c>
      <c r="D530" s="23" t="s">
        <v>1779</v>
      </c>
      <c r="E530" s="25">
        <v>4148591986</v>
      </c>
      <c r="F530" s="188">
        <v>33961</v>
      </c>
      <c r="G530" s="23" t="s">
        <v>10</v>
      </c>
      <c r="H530" s="180">
        <v>38.22091472314311</v>
      </c>
      <c r="I530" s="188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</row>
    <row r="531" spans="1:33" x14ac:dyDescent="0.3">
      <c r="A531" s="176" t="s">
        <v>1036</v>
      </c>
      <c r="B531" s="176" t="s">
        <v>310</v>
      </c>
      <c r="C531" s="23" t="s">
        <v>39</v>
      </c>
      <c r="D531" s="23" t="s">
        <v>1780</v>
      </c>
      <c r="E531" s="25">
        <v>9028304204</v>
      </c>
      <c r="F531" s="188">
        <v>28848</v>
      </c>
      <c r="G531" s="23" t="s">
        <v>10</v>
      </c>
      <c r="H531" s="180">
        <v>34.852082972761181</v>
      </c>
      <c r="I531" s="188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</row>
    <row r="532" spans="1:33" x14ac:dyDescent="0.3">
      <c r="A532" s="176" t="s">
        <v>1037</v>
      </c>
      <c r="B532" s="176" t="s">
        <v>783</v>
      </c>
      <c r="C532" s="23" t="s">
        <v>5</v>
      </c>
      <c r="D532" s="23" t="s">
        <v>1781</v>
      </c>
      <c r="E532" s="25">
        <v>2146739978</v>
      </c>
      <c r="F532" s="188">
        <v>30631</v>
      </c>
      <c r="G532" s="23" t="s">
        <v>18</v>
      </c>
      <c r="H532" s="180">
        <v>33.065231418210089</v>
      </c>
      <c r="I532" s="188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</row>
    <row r="533" spans="1:33" x14ac:dyDescent="0.3">
      <c r="A533" s="176" t="s">
        <v>1038</v>
      </c>
      <c r="B533" s="176" t="s">
        <v>690</v>
      </c>
      <c r="C533" s="23" t="s">
        <v>17</v>
      </c>
      <c r="D533" s="23" t="s">
        <v>1782</v>
      </c>
      <c r="E533" s="25">
        <v>4185267252</v>
      </c>
      <c r="F533" s="188">
        <v>28311</v>
      </c>
      <c r="G533" s="23" t="s">
        <v>18</v>
      </c>
      <c r="H533" s="180">
        <v>32.470730599755562</v>
      </c>
      <c r="I533" s="188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</row>
    <row r="534" spans="1:33" x14ac:dyDescent="0.3">
      <c r="A534" s="176" t="s">
        <v>1039</v>
      </c>
      <c r="B534" s="176" t="s">
        <v>684</v>
      </c>
      <c r="C534" s="23" t="s">
        <v>28</v>
      </c>
      <c r="D534" s="23" t="s">
        <v>1783</v>
      </c>
      <c r="E534" s="25">
        <v>6182999652</v>
      </c>
      <c r="F534" s="188">
        <v>29702</v>
      </c>
      <c r="G534" s="23" t="s">
        <v>6</v>
      </c>
      <c r="H534" s="180">
        <v>39.929604113031289</v>
      </c>
      <c r="I534" s="188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</row>
    <row r="535" spans="1:33" x14ac:dyDescent="0.3">
      <c r="A535" s="176" t="s">
        <v>1040</v>
      </c>
      <c r="B535" s="176" t="s">
        <v>468</v>
      </c>
      <c r="C535" s="23" t="s">
        <v>28</v>
      </c>
      <c r="D535" s="23" t="s">
        <v>1784</v>
      </c>
      <c r="E535" s="25">
        <v>5165790921</v>
      </c>
      <c r="F535" s="188">
        <v>32694</v>
      </c>
      <c r="G535" s="23" t="s">
        <v>33</v>
      </c>
      <c r="H535" s="180">
        <v>39.521694874352598</v>
      </c>
      <c r="I535" s="188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</row>
    <row r="536" spans="1:33" x14ac:dyDescent="0.3">
      <c r="A536" s="176" t="s">
        <v>1041</v>
      </c>
      <c r="B536" s="176" t="s">
        <v>1042</v>
      </c>
      <c r="C536" s="23" t="s">
        <v>17</v>
      </c>
      <c r="D536" s="23" t="s">
        <v>1785</v>
      </c>
      <c r="E536" s="25">
        <v>8064111882</v>
      </c>
      <c r="F536" s="188">
        <v>27859</v>
      </c>
      <c r="G536" s="23" t="s">
        <v>6</v>
      </c>
      <c r="H536" s="180">
        <v>36.81637951126018</v>
      </c>
      <c r="I536" s="188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</row>
    <row r="537" spans="1:33" x14ac:dyDescent="0.3">
      <c r="A537" s="176" t="s">
        <v>1043</v>
      </c>
      <c r="B537" s="176" t="s">
        <v>783</v>
      </c>
      <c r="C537" s="23" t="s">
        <v>9</v>
      </c>
      <c r="D537" s="23" t="s">
        <v>1786</v>
      </c>
      <c r="E537" s="25">
        <v>7097111802</v>
      </c>
      <c r="F537" s="188">
        <v>27858</v>
      </c>
      <c r="G537" s="23" t="s">
        <v>10</v>
      </c>
      <c r="H537" s="180">
        <v>33.744464521620607</v>
      </c>
      <c r="I537" s="188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</row>
    <row r="538" spans="1:33" x14ac:dyDescent="0.3">
      <c r="A538" s="176" t="s">
        <v>1044</v>
      </c>
      <c r="B538" s="176" t="s">
        <v>1045</v>
      </c>
      <c r="C538" s="23" t="s">
        <v>17</v>
      </c>
      <c r="D538" s="23" t="s">
        <v>1787</v>
      </c>
      <c r="E538" s="25">
        <v>9163578185</v>
      </c>
      <c r="F538" s="188">
        <v>35747</v>
      </c>
      <c r="G538" s="23" t="s">
        <v>18</v>
      </c>
      <c r="H538" s="180">
        <v>37.485507596007849</v>
      </c>
      <c r="I538" s="18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</row>
    <row r="539" spans="1:33" x14ac:dyDescent="0.3">
      <c r="A539" s="176" t="s">
        <v>1046</v>
      </c>
      <c r="B539" s="176" t="s">
        <v>913</v>
      </c>
      <c r="C539" s="23" t="s">
        <v>17</v>
      </c>
      <c r="D539" s="23" t="s">
        <v>1788</v>
      </c>
      <c r="E539" s="25">
        <v>4131472895</v>
      </c>
      <c r="F539" s="188">
        <v>29671</v>
      </c>
      <c r="G539" s="23" t="s">
        <v>6</v>
      </c>
      <c r="H539" s="180">
        <v>34.864844335006595</v>
      </c>
      <c r="I539" s="188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</row>
    <row r="540" spans="1:33" x14ac:dyDescent="0.3">
      <c r="A540" s="176" t="s">
        <v>1047</v>
      </c>
      <c r="B540" s="176" t="s">
        <v>447</v>
      </c>
      <c r="C540" s="23" t="s">
        <v>31</v>
      </c>
      <c r="D540" s="23" t="s">
        <v>1789</v>
      </c>
      <c r="E540" s="25">
        <v>4135797109</v>
      </c>
      <c r="F540" s="188">
        <v>35708</v>
      </c>
      <c r="G540" s="23" t="s">
        <v>33</v>
      </c>
      <c r="H540" s="180">
        <v>39.885486654677777</v>
      </c>
      <c r="I540" s="188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</row>
    <row r="541" spans="1:33" x14ac:dyDescent="0.3">
      <c r="A541" s="176" t="s">
        <v>1048</v>
      </c>
      <c r="B541" s="176" t="s">
        <v>1049</v>
      </c>
      <c r="C541" s="23" t="s">
        <v>40</v>
      </c>
      <c r="D541" s="23" t="s">
        <v>1790</v>
      </c>
      <c r="E541" s="25">
        <v>3147600603</v>
      </c>
      <c r="F541" s="188">
        <v>28497</v>
      </c>
      <c r="G541" s="23" t="s">
        <v>6</v>
      </c>
      <c r="H541" s="180">
        <v>32.093929845656916</v>
      </c>
      <c r="I541" s="188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</row>
    <row r="542" spans="1:33" x14ac:dyDescent="0.3">
      <c r="A542" s="176" t="s">
        <v>1050</v>
      </c>
      <c r="B542" s="176" t="s">
        <v>1051</v>
      </c>
      <c r="C542" s="23" t="s">
        <v>23</v>
      </c>
      <c r="D542" s="23" t="s">
        <v>1791</v>
      </c>
      <c r="E542" s="25">
        <v>5095327906</v>
      </c>
      <c r="F542" s="188">
        <v>29369</v>
      </c>
      <c r="G542" s="23" t="s">
        <v>6</v>
      </c>
      <c r="H542" s="180">
        <v>33.595605882475489</v>
      </c>
      <c r="I542" s="188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</row>
    <row r="543" spans="1:33" x14ac:dyDescent="0.3">
      <c r="A543" s="176" t="s">
        <v>1052</v>
      </c>
      <c r="B543" s="176" t="s">
        <v>1053</v>
      </c>
      <c r="C543" s="23" t="s">
        <v>40</v>
      </c>
      <c r="D543" s="23" t="s">
        <v>1792</v>
      </c>
      <c r="E543" s="25">
        <v>9166335284</v>
      </c>
      <c r="F543" s="188">
        <v>29787</v>
      </c>
      <c r="G543" s="23" t="s">
        <v>33</v>
      </c>
      <c r="H543" s="180">
        <v>39.888432677487117</v>
      </c>
      <c r="I543" s="188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</row>
    <row r="544" spans="1:33" x14ac:dyDescent="0.3">
      <c r="A544" s="176" t="s">
        <v>1054</v>
      </c>
      <c r="B544" s="176" t="s">
        <v>1055</v>
      </c>
      <c r="C544" s="23" t="s">
        <v>25</v>
      </c>
      <c r="D544" s="23" t="s">
        <v>1793</v>
      </c>
      <c r="E544" s="25">
        <v>7177919826</v>
      </c>
      <c r="F544" s="188">
        <v>35194</v>
      </c>
      <c r="G544" s="23" t="s">
        <v>18</v>
      </c>
      <c r="H544" s="180">
        <v>36.978645324582835</v>
      </c>
      <c r="I544" s="188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</row>
    <row r="545" spans="1:33" x14ac:dyDescent="0.3">
      <c r="A545" s="176" t="s">
        <v>1056</v>
      </c>
      <c r="B545" s="176" t="s">
        <v>1057</v>
      </c>
      <c r="C545" s="23" t="s">
        <v>39</v>
      </c>
      <c r="D545" s="23" t="s">
        <v>1794</v>
      </c>
      <c r="E545" s="25">
        <v>3124980674</v>
      </c>
      <c r="F545" s="188">
        <v>28025</v>
      </c>
      <c r="G545" s="23" t="s">
        <v>10</v>
      </c>
      <c r="H545" s="180">
        <v>39.039746032307114</v>
      </c>
      <c r="I545" s="188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</row>
    <row r="546" spans="1:33" x14ac:dyDescent="0.3">
      <c r="A546" s="176" t="s">
        <v>1058</v>
      </c>
      <c r="B546" s="176" t="s">
        <v>1059</v>
      </c>
      <c r="C546" s="23" t="s">
        <v>23</v>
      </c>
      <c r="D546" s="23" t="s">
        <v>1795</v>
      </c>
      <c r="E546" s="25">
        <v>2063825834</v>
      </c>
      <c r="F546" s="188">
        <v>27920</v>
      </c>
      <c r="G546" s="23" t="s">
        <v>6</v>
      </c>
      <c r="H546" s="180">
        <v>36.096792133878445</v>
      </c>
      <c r="I546" s="188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</row>
    <row r="547" spans="1:33" x14ac:dyDescent="0.3">
      <c r="A547" s="176" t="s">
        <v>1060</v>
      </c>
      <c r="B547" s="176" t="s">
        <v>447</v>
      </c>
      <c r="C547" s="23" t="s">
        <v>17</v>
      </c>
      <c r="D547" s="23" t="s">
        <v>1796</v>
      </c>
      <c r="E547" s="25">
        <v>4093451072</v>
      </c>
      <c r="F547" s="188">
        <v>28613</v>
      </c>
      <c r="G547" s="23" t="s">
        <v>18</v>
      </c>
      <c r="H547" s="180">
        <v>34.448281482743646</v>
      </c>
      <c r="I547" s="188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</row>
    <row r="548" spans="1:33" x14ac:dyDescent="0.3">
      <c r="A548" s="176" t="s">
        <v>1061</v>
      </c>
      <c r="B548" s="176" t="s">
        <v>1062</v>
      </c>
      <c r="C548" s="23" t="s">
        <v>24</v>
      </c>
      <c r="D548" s="23" t="s">
        <v>1790</v>
      </c>
      <c r="E548" s="25">
        <v>4144072342</v>
      </c>
      <c r="F548" s="188">
        <v>28933</v>
      </c>
      <c r="G548" s="23" t="s">
        <v>10</v>
      </c>
      <c r="H548" s="180">
        <v>31.160342384749505</v>
      </c>
      <c r="I548" s="18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</row>
    <row r="549" spans="1:33" x14ac:dyDescent="0.3">
      <c r="A549" s="176" t="s">
        <v>1063</v>
      </c>
      <c r="B549" s="176" t="s">
        <v>1064</v>
      </c>
      <c r="C549" s="23" t="s">
        <v>27</v>
      </c>
      <c r="D549" s="23" t="s">
        <v>1797</v>
      </c>
      <c r="E549" s="25">
        <v>4113976775</v>
      </c>
      <c r="F549" s="188">
        <v>29787</v>
      </c>
      <c r="G549" s="23" t="s">
        <v>33</v>
      </c>
      <c r="H549" s="180">
        <v>36.057944771815784</v>
      </c>
      <c r="I549" s="188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</row>
    <row r="550" spans="1:33" x14ac:dyDescent="0.3">
      <c r="A550" s="176" t="s">
        <v>247</v>
      </c>
      <c r="B550" s="176" t="s">
        <v>215</v>
      </c>
      <c r="C550" s="23" t="s">
        <v>5</v>
      </c>
      <c r="D550" s="23" t="s">
        <v>1798</v>
      </c>
      <c r="E550" s="25">
        <v>5192263363</v>
      </c>
      <c r="F550" s="188">
        <v>30496</v>
      </c>
      <c r="G550" s="23" t="s">
        <v>10</v>
      </c>
      <c r="H550" s="180">
        <v>37.01518021701353</v>
      </c>
      <c r="I550" s="188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</row>
    <row r="551" spans="1:33" x14ac:dyDescent="0.3">
      <c r="A551" s="176" t="s">
        <v>1065</v>
      </c>
      <c r="B551" s="176" t="s">
        <v>357</v>
      </c>
      <c r="C551" s="23" t="s">
        <v>5</v>
      </c>
      <c r="D551" s="23" t="s">
        <v>1799</v>
      </c>
      <c r="E551" s="25">
        <v>7024077699</v>
      </c>
      <c r="F551" s="188">
        <v>34693</v>
      </c>
      <c r="G551" s="23" t="s">
        <v>10</v>
      </c>
      <c r="H551" s="180">
        <v>32.678124610112249</v>
      </c>
      <c r="I551" s="188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</row>
    <row r="552" spans="1:33" x14ac:dyDescent="0.3">
      <c r="A552" s="176" t="s">
        <v>1066</v>
      </c>
      <c r="B552" s="176" t="s">
        <v>288</v>
      </c>
      <c r="C552" s="23" t="s">
        <v>9</v>
      </c>
      <c r="D552" s="23" t="s">
        <v>1800</v>
      </c>
      <c r="E552" s="25">
        <v>8091629556</v>
      </c>
      <c r="F552" s="188">
        <v>29899</v>
      </c>
      <c r="G552" s="23" t="s">
        <v>6</v>
      </c>
      <c r="H552" s="180">
        <v>35.241626705022291</v>
      </c>
      <c r="I552" s="188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</row>
    <row r="553" spans="1:33" x14ac:dyDescent="0.3">
      <c r="A553" s="176" t="s">
        <v>1067</v>
      </c>
      <c r="B553" s="176" t="s">
        <v>504</v>
      </c>
      <c r="C553" s="23" t="s">
        <v>17</v>
      </c>
      <c r="D553" s="23" t="s">
        <v>1801</v>
      </c>
      <c r="E553" s="25">
        <v>6056565171</v>
      </c>
      <c r="F553" s="188">
        <v>33339</v>
      </c>
      <c r="G553" s="23" t="s">
        <v>10</v>
      </c>
      <c r="H553" s="180">
        <v>31.796659597608667</v>
      </c>
      <c r="I553" s="188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</row>
    <row r="554" spans="1:33" x14ac:dyDescent="0.3">
      <c r="A554" s="176" t="s">
        <v>1068</v>
      </c>
      <c r="B554" s="176" t="s">
        <v>322</v>
      </c>
      <c r="C554" s="23" t="s">
        <v>17</v>
      </c>
      <c r="D554" s="23" t="s">
        <v>1802</v>
      </c>
      <c r="E554" s="25">
        <v>3192140101</v>
      </c>
      <c r="F554" s="188">
        <v>34836</v>
      </c>
      <c r="G554" s="23" t="s">
        <v>10</v>
      </c>
      <c r="H554" s="180">
        <v>38.377921523803664</v>
      </c>
      <c r="I554" s="188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</row>
    <row r="555" spans="1:33" x14ac:dyDescent="0.3">
      <c r="A555" s="176" t="s">
        <v>1069</v>
      </c>
      <c r="B555" s="176" t="s">
        <v>1070</v>
      </c>
      <c r="C555" s="23" t="s">
        <v>27</v>
      </c>
      <c r="D555" s="23" t="s">
        <v>1803</v>
      </c>
      <c r="E555" s="25">
        <v>2078085402</v>
      </c>
      <c r="F555" s="188">
        <v>30039</v>
      </c>
      <c r="G555" s="23" t="s">
        <v>6</v>
      </c>
      <c r="H555" s="180">
        <v>34.625643491744249</v>
      </c>
      <c r="I555" s="188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</row>
    <row r="556" spans="1:33" x14ac:dyDescent="0.3">
      <c r="A556" s="176" t="s">
        <v>1071</v>
      </c>
      <c r="B556" s="176" t="s">
        <v>956</v>
      </c>
      <c r="C556" s="23" t="s">
        <v>28</v>
      </c>
      <c r="D556" s="23" t="s">
        <v>1804</v>
      </c>
      <c r="E556" s="25">
        <v>9171462245</v>
      </c>
      <c r="F556" s="188">
        <v>29379</v>
      </c>
      <c r="G556" s="23" t="s">
        <v>18</v>
      </c>
      <c r="H556" s="180">
        <v>37.715852618768949</v>
      </c>
      <c r="I556" s="188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</row>
    <row r="557" spans="1:33" x14ac:dyDescent="0.3">
      <c r="A557" s="176" t="s">
        <v>1072</v>
      </c>
      <c r="B557" s="176" t="s">
        <v>310</v>
      </c>
      <c r="C557" s="23" t="s">
        <v>17</v>
      </c>
      <c r="D557" s="23" t="s">
        <v>1805</v>
      </c>
      <c r="E557" s="25">
        <v>5081999230</v>
      </c>
      <c r="F557" s="188">
        <v>35625</v>
      </c>
      <c r="G557" s="23" t="s">
        <v>10</v>
      </c>
      <c r="H557" s="180">
        <v>32.489534305698989</v>
      </c>
      <c r="I557" s="188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</row>
    <row r="558" spans="1:33" x14ac:dyDescent="0.3">
      <c r="A558" s="176" t="s">
        <v>1073</v>
      </c>
      <c r="B558" s="176" t="s">
        <v>1074</v>
      </c>
      <c r="C558" s="23" t="s">
        <v>38</v>
      </c>
      <c r="D558" s="23" t="s">
        <v>1806</v>
      </c>
      <c r="E558" s="25">
        <v>7026733291</v>
      </c>
      <c r="F558" s="188">
        <v>29487</v>
      </c>
      <c r="G558" s="23" t="s">
        <v>6</v>
      </c>
      <c r="H558" s="180">
        <v>31.782417006468606</v>
      </c>
      <c r="I558" s="18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</row>
    <row r="559" spans="1:33" x14ac:dyDescent="0.3">
      <c r="A559" s="176" t="s">
        <v>1075</v>
      </c>
      <c r="B559" s="176" t="s">
        <v>322</v>
      </c>
      <c r="C559" s="23" t="s">
        <v>27</v>
      </c>
      <c r="D559" s="23" t="s">
        <v>1807</v>
      </c>
      <c r="E559" s="25">
        <v>3114141191</v>
      </c>
      <c r="F559" s="188">
        <v>28537</v>
      </c>
      <c r="G559" s="23" t="s">
        <v>33</v>
      </c>
      <c r="H559" s="180">
        <v>33.285675810999535</v>
      </c>
      <c r="I559" s="188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</row>
    <row r="560" spans="1:33" x14ac:dyDescent="0.3">
      <c r="A560" s="176" t="s">
        <v>1076</v>
      </c>
      <c r="B560" s="176" t="s">
        <v>1077</v>
      </c>
      <c r="C560" s="23" t="s">
        <v>28</v>
      </c>
      <c r="D560" s="23" t="s">
        <v>1527</v>
      </c>
      <c r="E560" s="25">
        <v>4026396432</v>
      </c>
      <c r="F560" s="188">
        <v>30367</v>
      </c>
      <c r="G560" s="23" t="s">
        <v>10</v>
      </c>
      <c r="H560" s="180">
        <v>34.860629761959089</v>
      </c>
      <c r="I560" s="188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</row>
    <row r="561" spans="1:33" x14ac:dyDescent="0.3">
      <c r="A561" s="176" t="s">
        <v>1078</v>
      </c>
      <c r="B561" s="176" t="s">
        <v>1079</v>
      </c>
      <c r="C561" s="23" t="s">
        <v>25</v>
      </c>
      <c r="D561" s="23" t="s">
        <v>1808</v>
      </c>
      <c r="E561" s="25">
        <v>7062121334</v>
      </c>
      <c r="F561" s="188">
        <v>31933</v>
      </c>
      <c r="G561" s="23" t="s">
        <v>10</v>
      </c>
      <c r="H561" s="180">
        <v>36.579761470892606</v>
      </c>
      <c r="I561" s="188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</row>
    <row r="562" spans="1:33" x14ac:dyDescent="0.3">
      <c r="A562" s="176" t="s">
        <v>1080</v>
      </c>
      <c r="B562" s="176" t="s">
        <v>719</v>
      </c>
      <c r="C562" s="23" t="s">
        <v>17</v>
      </c>
      <c r="D562" s="23" t="s">
        <v>1809</v>
      </c>
      <c r="E562" s="25">
        <v>7177091949</v>
      </c>
      <c r="F562" s="188">
        <v>32417</v>
      </c>
      <c r="G562" s="23" t="s">
        <v>10</v>
      </c>
      <c r="H562" s="180">
        <v>38.850431548653795</v>
      </c>
      <c r="I562" s="188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</row>
    <row r="563" spans="1:33" x14ac:dyDescent="0.3">
      <c r="A563" s="176" t="s">
        <v>1081</v>
      </c>
      <c r="B563" s="176" t="s">
        <v>942</v>
      </c>
      <c r="C563" s="23" t="s">
        <v>25</v>
      </c>
      <c r="D563" s="23" t="s">
        <v>1810</v>
      </c>
      <c r="E563" s="25">
        <v>2154269081</v>
      </c>
      <c r="F563" s="188">
        <v>32648</v>
      </c>
      <c r="G563" s="23" t="s">
        <v>10</v>
      </c>
      <c r="H563" s="180">
        <v>35.524567400619183</v>
      </c>
      <c r="I563" s="188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</row>
    <row r="564" spans="1:33" x14ac:dyDescent="0.3">
      <c r="A564" s="176" t="s">
        <v>208</v>
      </c>
      <c r="B564" s="176" t="s">
        <v>209</v>
      </c>
      <c r="C564" s="23" t="s">
        <v>9</v>
      </c>
      <c r="D564" s="23" t="s">
        <v>1811</v>
      </c>
      <c r="E564" s="64">
        <v>6126795200</v>
      </c>
      <c r="F564" s="188">
        <v>32663</v>
      </c>
      <c r="G564" s="24" t="s">
        <v>10</v>
      </c>
      <c r="H564" s="180">
        <v>33.656086019813969</v>
      </c>
      <c r="I564" s="188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</row>
    <row r="565" spans="1:33" x14ac:dyDescent="0.3">
      <c r="A565" s="176" t="s">
        <v>1082</v>
      </c>
      <c r="B565" s="176" t="s">
        <v>423</v>
      </c>
      <c r="C565" s="23" t="s">
        <v>27</v>
      </c>
      <c r="D565" s="23" t="s">
        <v>1812</v>
      </c>
      <c r="E565" s="25">
        <v>9016012031</v>
      </c>
      <c r="F565" s="188">
        <v>32789</v>
      </c>
      <c r="G565" s="23" t="s">
        <v>33</v>
      </c>
      <c r="H565" s="180">
        <v>35.580235787599065</v>
      </c>
      <c r="I565" s="188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</row>
    <row r="566" spans="1:33" x14ac:dyDescent="0.3">
      <c r="A566" s="176" t="s">
        <v>1083</v>
      </c>
      <c r="B566" s="176" t="s">
        <v>1084</v>
      </c>
      <c r="C566" s="23" t="s">
        <v>17</v>
      </c>
      <c r="D566" s="23" t="s">
        <v>1813</v>
      </c>
      <c r="E566" s="25">
        <v>3168356334</v>
      </c>
      <c r="F566" s="188">
        <v>30152</v>
      </c>
      <c r="G566" s="23" t="s">
        <v>10</v>
      </c>
      <c r="H566" s="180">
        <v>32.951330271260254</v>
      </c>
      <c r="I566" s="188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</row>
    <row r="567" spans="1:33" x14ac:dyDescent="0.3">
      <c r="A567" s="176" t="s">
        <v>1085</v>
      </c>
      <c r="B567" s="176" t="s">
        <v>310</v>
      </c>
      <c r="C567" s="23" t="s">
        <v>17</v>
      </c>
      <c r="D567" s="23" t="s">
        <v>1810</v>
      </c>
      <c r="E567" s="25">
        <v>3012224790</v>
      </c>
      <c r="F567" s="188">
        <v>33961</v>
      </c>
      <c r="G567" s="23" t="s">
        <v>10</v>
      </c>
      <c r="H567" s="180">
        <v>34.572321381151461</v>
      </c>
      <c r="I567" s="188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</row>
    <row r="568" spans="1:33" x14ac:dyDescent="0.3">
      <c r="A568" s="176" t="s">
        <v>1086</v>
      </c>
      <c r="B568" s="176" t="s">
        <v>1087</v>
      </c>
      <c r="C568" s="23" t="s">
        <v>27</v>
      </c>
      <c r="D568" s="23" t="s">
        <v>1814</v>
      </c>
      <c r="E568" s="25">
        <v>6125048978</v>
      </c>
      <c r="F568" s="188">
        <v>28848</v>
      </c>
      <c r="G568" s="23" t="s">
        <v>10</v>
      </c>
      <c r="H568" s="180">
        <v>33.403694003339162</v>
      </c>
      <c r="I568" s="18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</row>
    <row r="569" spans="1:33" x14ac:dyDescent="0.3">
      <c r="A569" s="176" t="s">
        <v>1088</v>
      </c>
      <c r="B569" s="176" t="s">
        <v>348</v>
      </c>
      <c r="C569" s="23" t="s">
        <v>24</v>
      </c>
      <c r="D569" s="23" t="s">
        <v>1815</v>
      </c>
      <c r="E569" s="25">
        <v>9174744493</v>
      </c>
      <c r="F569" s="188">
        <v>30631</v>
      </c>
      <c r="G569" s="23" t="s">
        <v>10</v>
      </c>
      <c r="H569" s="180">
        <v>32.490391209354293</v>
      </c>
      <c r="I569" s="188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</row>
    <row r="570" spans="1:33" x14ac:dyDescent="0.3">
      <c r="A570" s="176" t="s">
        <v>1089</v>
      </c>
      <c r="B570" s="176" t="s">
        <v>1090</v>
      </c>
      <c r="C570" s="23" t="s">
        <v>28</v>
      </c>
      <c r="D570" s="23" t="s">
        <v>1816</v>
      </c>
      <c r="E570" s="25">
        <v>3028400261</v>
      </c>
      <c r="F570" s="188">
        <v>28311</v>
      </c>
      <c r="G570" s="23" t="s">
        <v>10</v>
      </c>
      <c r="H570" s="180">
        <v>32.919023046237776</v>
      </c>
      <c r="I570" s="188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</row>
    <row r="571" spans="1:33" x14ac:dyDescent="0.3">
      <c r="A571" s="176" t="s">
        <v>1091</v>
      </c>
      <c r="B571" s="176" t="s">
        <v>1092</v>
      </c>
      <c r="C571" s="23" t="s">
        <v>36</v>
      </c>
      <c r="D571" s="23" t="s">
        <v>1817</v>
      </c>
      <c r="E571" s="25">
        <v>6185035104</v>
      </c>
      <c r="F571" s="188">
        <v>29702</v>
      </c>
      <c r="G571" s="23" t="s">
        <v>10</v>
      </c>
      <c r="H571" s="180">
        <v>36.143677846467483</v>
      </c>
      <c r="I571" s="188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</row>
    <row r="572" spans="1:33" x14ac:dyDescent="0.3">
      <c r="A572" s="176" t="s">
        <v>1093</v>
      </c>
      <c r="B572" s="176" t="s">
        <v>1094</v>
      </c>
      <c r="C572" s="23" t="s">
        <v>29</v>
      </c>
      <c r="D572" s="23" t="s">
        <v>1818</v>
      </c>
      <c r="E572" s="25">
        <v>2126632360</v>
      </c>
      <c r="F572" s="188">
        <v>32694</v>
      </c>
      <c r="G572" s="23" t="s">
        <v>10</v>
      </c>
      <c r="H572" s="180">
        <v>32.010939938536026</v>
      </c>
      <c r="I572" s="188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</row>
    <row r="573" spans="1:33" x14ac:dyDescent="0.3">
      <c r="A573" s="176" t="s">
        <v>1095</v>
      </c>
      <c r="B573" s="176" t="s">
        <v>1096</v>
      </c>
      <c r="C573" s="23" t="s">
        <v>5</v>
      </c>
      <c r="D573" s="23" t="s">
        <v>1819</v>
      </c>
      <c r="E573" s="25">
        <v>5113709408</v>
      </c>
      <c r="F573" s="188">
        <v>27859</v>
      </c>
      <c r="G573" s="23" t="s">
        <v>18</v>
      </c>
      <c r="H573" s="180">
        <v>32.714319576823449</v>
      </c>
      <c r="I573" s="188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</row>
    <row r="574" spans="1:33" x14ac:dyDescent="0.3">
      <c r="A574" s="176" t="s">
        <v>1097</v>
      </c>
      <c r="B574" s="176" t="s">
        <v>1098</v>
      </c>
      <c r="C574" s="23" t="s">
        <v>9</v>
      </c>
      <c r="D574" s="23" t="s">
        <v>1820</v>
      </c>
      <c r="E574" s="25">
        <v>9091509619</v>
      </c>
      <c r="F574" s="188">
        <v>27858</v>
      </c>
      <c r="G574" s="23" t="s">
        <v>10</v>
      </c>
      <c r="H574" s="180">
        <v>33.064200300825178</v>
      </c>
      <c r="I574" s="188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</row>
    <row r="575" spans="1:33" x14ac:dyDescent="0.3">
      <c r="A575" s="176" t="s">
        <v>1099</v>
      </c>
      <c r="B575" s="176" t="s">
        <v>1100</v>
      </c>
      <c r="C575" s="23" t="s">
        <v>42</v>
      </c>
      <c r="D575" s="23" t="s">
        <v>1821</v>
      </c>
      <c r="E575" s="25">
        <v>4041362796</v>
      </c>
      <c r="F575" s="188">
        <v>35747</v>
      </c>
      <c r="G575" s="23" t="s">
        <v>6</v>
      </c>
      <c r="H575" s="180">
        <v>37.532930461185693</v>
      </c>
      <c r="I575" s="188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</row>
    <row r="576" spans="1:33" x14ac:dyDescent="0.3">
      <c r="A576" s="176" t="s">
        <v>1101</v>
      </c>
      <c r="B576" s="176" t="s">
        <v>395</v>
      </c>
      <c r="C576" s="23" t="s">
        <v>9</v>
      </c>
      <c r="D576" s="23" t="s">
        <v>1576</v>
      </c>
      <c r="E576" s="25">
        <v>3128857217</v>
      </c>
      <c r="F576" s="188">
        <v>29671</v>
      </c>
      <c r="G576" s="23" t="s">
        <v>10</v>
      </c>
      <c r="H576" s="180">
        <v>39.834786587676838</v>
      </c>
      <c r="I576" s="188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</row>
    <row r="577" spans="1:33" x14ac:dyDescent="0.3">
      <c r="A577" s="176" t="s">
        <v>1102</v>
      </c>
      <c r="B577" s="176" t="s">
        <v>279</v>
      </c>
      <c r="C577" s="23" t="s">
        <v>26</v>
      </c>
      <c r="D577" s="23" t="s">
        <v>1822</v>
      </c>
      <c r="E577" s="25">
        <v>8076648050</v>
      </c>
      <c r="F577" s="188">
        <v>35708</v>
      </c>
      <c r="G577" s="23" t="s">
        <v>10</v>
      </c>
      <c r="H577" s="180">
        <v>34.545753663482515</v>
      </c>
      <c r="I577" s="188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</row>
    <row r="578" spans="1:33" x14ac:dyDescent="0.3">
      <c r="A578" s="176" t="s">
        <v>1103</v>
      </c>
      <c r="B578" s="176" t="s">
        <v>800</v>
      </c>
      <c r="C578" s="23" t="s">
        <v>17</v>
      </c>
      <c r="D578" s="23" t="s">
        <v>1823</v>
      </c>
      <c r="E578" s="25">
        <v>8162842668</v>
      </c>
      <c r="F578" s="188">
        <v>28497</v>
      </c>
      <c r="G578" s="23" t="s">
        <v>6</v>
      </c>
      <c r="H578" s="180">
        <v>37.999143287050323</v>
      </c>
      <c r="I578" s="18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</row>
    <row r="579" spans="1:33" x14ac:dyDescent="0.3">
      <c r="A579" s="176" t="s">
        <v>1104</v>
      </c>
      <c r="B579" s="176" t="s">
        <v>395</v>
      </c>
      <c r="C579" s="23" t="s">
        <v>25</v>
      </c>
      <c r="D579" s="23" t="s">
        <v>1824</v>
      </c>
      <c r="E579" s="25">
        <v>3091952821</v>
      </c>
      <c r="F579" s="188">
        <v>29369</v>
      </c>
      <c r="G579" s="23" t="s">
        <v>10</v>
      </c>
      <c r="H579" s="180">
        <v>31.656172581219227</v>
      </c>
      <c r="I579" s="188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</row>
    <row r="580" spans="1:33" x14ac:dyDescent="0.3">
      <c r="A580" s="176" t="s">
        <v>224</v>
      </c>
      <c r="B580" s="176" t="s">
        <v>225</v>
      </c>
      <c r="C580" s="23" t="s">
        <v>5</v>
      </c>
      <c r="D580" s="23" t="s">
        <v>1825</v>
      </c>
      <c r="E580" s="25">
        <v>5028467597</v>
      </c>
      <c r="F580" s="188">
        <v>29787</v>
      </c>
      <c r="G580" s="23" t="s">
        <v>18</v>
      </c>
      <c r="H580" s="180">
        <v>35.613710695985645</v>
      </c>
      <c r="I580" s="188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</row>
    <row r="581" spans="1:33" x14ac:dyDescent="0.3">
      <c r="A581" s="176" t="s">
        <v>224</v>
      </c>
      <c r="B581" s="176" t="s">
        <v>1105</v>
      </c>
      <c r="C581" s="23" t="s">
        <v>9</v>
      </c>
      <c r="D581" s="23" t="s">
        <v>1826</v>
      </c>
      <c r="E581" s="25">
        <v>2136742736</v>
      </c>
      <c r="F581" s="188">
        <v>35194</v>
      </c>
      <c r="G581" s="23" t="s">
        <v>10</v>
      </c>
      <c r="H581" s="180">
        <v>39.358901828958139</v>
      </c>
      <c r="I581" s="188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</row>
    <row r="582" spans="1:33" x14ac:dyDescent="0.3">
      <c r="A582" s="176" t="s">
        <v>1106</v>
      </c>
      <c r="B582" s="176" t="s">
        <v>627</v>
      </c>
      <c r="C582" s="23" t="s">
        <v>27</v>
      </c>
      <c r="D582" s="23" t="s">
        <v>1827</v>
      </c>
      <c r="E582" s="25">
        <v>6072259651</v>
      </c>
      <c r="F582" s="188">
        <v>28025</v>
      </c>
      <c r="G582" s="23" t="s">
        <v>10</v>
      </c>
      <c r="H582" s="180">
        <v>35.14800086707038</v>
      </c>
      <c r="I582" s="188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</row>
    <row r="583" spans="1:33" x14ac:dyDescent="0.3">
      <c r="A583" s="176" t="s">
        <v>1107</v>
      </c>
      <c r="B583" s="176" t="s">
        <v>285</v>
      </c>
      <c r="C583" s="23" t="s">
        <v>23</v>
      </c>
      <c r="D583" s="23" t="s">
        <v>1828</v>
      </c>
      <c r="E583" s="25">
        <v>9025789252</v>
      </c>
      <c r="F583" s="188">
        <v>27920</v>
      </c>
      <c r="G583" s="23" t="s">
        <v>10</v>
      </c>
      <c r="H583" s="180">
        <v>34.856915936692673</v>
      </c>
      <c r="I583" s="188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</row>
    <row r="584" spans="1:33" x14ac:dyDescent="0.3">
      <c r="A584" s="176" t="s">
        <v>1108</v>
      </c>
      <c r="B584" s="176" t="s">
        <v>747</v>
      </c>
      <c r="C584" s="23" t="s">
        <v>9</v>
      </c>
      <c r="D584" s="23" t="s">
        <v>1272</v>
      </c>
      <c r="E584" s="25">
        <v>4041800673</v>
      </c>
      <c r="F584" s="188">
        <v>28613</v>
      </c>
      <c r="G584" s="23" t="s">
        <v>10</v>
      </c>
      <c r="H584" s="180">
        <v>37.835285192953876</v>
      </c>
      <c r="I584" s="188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</row>
    <row r="585" spans="1:33" x14ac:dyDescent="0.3">
      <c r="A585" s="176" t="s">
        <v>1109</v>
      </c>
      <c r="B585" s="176" t="s">
        <v>1110</v>
      </c>
      <c r="C585" s="23" t="s">
        <v>31</v>
      </c>
      <c r="D585" s="23" t="s">
        <v>1829</v>
      </c>
      <c r="E585" s="25">
        <v>8194652136</v>
      </c>
      <c r="F585" s="188">
        <v>28933</v>
      </c>
      <c r="G585" s="23" t="s">
        <v>18</v>
      </c>
      <c r="H585" s="180">
        <v>30.243411584301956</v>
      </c>
      <c r="I585" s="188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</row>
    <row r="586" spans="1:33" x14ac:dyDescent="0.3">
      <c r="A586" s="176" t="s">
        <v>1111</v>
      </c>
      <c r="B586" s="176" t="s">
        <v>1112</v>
      </c>
      <c r="C586" s="23" t="s">
        <v>9</v>
      </c>
      <c r="D586" s="23" t="s">
        <v>1830</v>
      </c>
      <c r="E586" s="25">
        <v>3038451642</v>
      </c>
      <c r="F586" s="188">
        <v>29787</v>
      </c>
      <c r="G586" s="23" t="s">
        <v>6</v>
      </c>
      <c r="H586" s="180">
        <v>33.383903794714357</v>
      </c>
      <c r="I586" s="188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</row>
    <row r="587" spans="1:33" x14ac:dyDescent="0.3">
      <c r="A587" s="176" t="s">
        <v>165</v>
      </c>
      <c r="B587" s="176" t="s">
        <v>205</v>
      </c>
      <c r="C587" s="23" t="s">
        <v>5</v>
      </c>
      <c r="D587" s="23" t="s">
        <v>1831</v>
      </c>
      <c r="E587" s="25">
        <v>2071641031</v>
      </c>
      <c r="F587" s="188">
        <v>30496</v>
      </c>
      <c r="G587" s="23" t="s">
        <v>6</v>
      </c>
      <c r="H587" s="180">
        <v>30.757542039385445</v>
      </c>
      <c r="I587" s="188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</row>
    <row r="588" spans="1:33" x14ac:dyDescent="0.3">
      <c r="A588" s="176" t="s">
        <v>165</v>
      </c>
      <c r="B588" s="176" t="s">
        <v>226</v>
      </c>
      <c r="C588" s="23" t="s">
        <v>23</v>
      </c>
      <c r="D588" s="23" t="s">
        <v>1832</v>
      </c>
      <c r="E588" s="25">
        <v>2033695179</v>
      </c>
      <c r="F588" s="188">
        <v>34693</v>
      </c>
      <c r="G588" s="23" t="s">
        <v>10</v>
      </c>
      <c r="H588" s="180">
        <v>37.982488809500687</v>
      </c>
      <c r="I588" s="1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</row>
    <row r="589" spans="1:33" x14ac:dyDescent="0.3">
      <c r="A589" s="176" t="s">
        <v>165</v>
      </c>
      <c r="B589" s="176" t="s">
        <v>227</v>
      </c>
      <c r="C589" s="23" t="s">
        <v>17</v>
      </c>
      <c r="D589" s="23" t="s">
        <v>1833</v>
      </c>
      <c r="E589" s="25">
        <v>5137961953</v>
      </c>
      <c r="F589" s="188">
        <v>29899</v>
      </c>
      <c r="G589" s="23" t="s">
        <v>10</v>
      </c>
      <c r="H589" s="180">
        <v>38.492367248094226</v>
      </c>
      <c r="I589" s="188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</row>
    <row r="590" spans="1:33" x14ac:dyDescent="0.3">
      <c r="A590" s="176" t="s">
        <v>165</v>
      </c>
      <c r="B590" s="176" t="s">
        <v>236</v>
      </c>
      <c r="C590" s="23" t="s">
        <v>9</v>
      </c>
      <c r="D590" s="23" t="s">
        <v>1834</v>
      </c>
      <c r="E590" s="25">
        <v>7025299873</v>
      </c>
      <c r="F590" s="188">
        <v>33339</v>
      </c>
      <c r="G590" s="23" t="s">
        <v>6</v>
      </c>
      <c r="H590" s="180">
        <v>31.775051371003954</v>
      </c>
      <c r="I590" s="188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</row>
    <row r="591" spans="1:33" x14ac:dyDescent="0.3">
      <c r="A591" s="176" t="s">
        <v>165</v>
      </c>
      <c r="B591" s="176" t="s">
        <v>261</v>
      </c>
      <c r="C591" s="23" t="s">
        <v>31</v>
      </c>
      <c r="D591" s="23" t="s">
        <v>1835</v>
      </c>
      <c r="E591" s="25">
        <v>8052474315</v>
      </c>
      <c r="F591" s="188">
        <v>34836</v>
      </c>
      <c r="G591" s="23" t="s">
        <v>10</v>
      </c>
      <c r="H591" s="180">
        <v>33.678896133113938</v>
      </c>
      <c r="I591" s="188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</row>
    <row r="592" spans="1:33" x14ac:dyDescent="0.3">
      <c r="A592" s="176" t="s">
        <v>165</v>
      </c>
      <c r="B592" s="176" t="s">
        <v>1113</v>
      </c>
      <c r="C592" s="23" t="s">
        <v>9</v>
      </c>
      <c r="D592" s="23" t="s">
        <v>1836</v>
      </c>
      <c r="E592" s="25">
        <v>3155610944</v>
      </c>
      <c r="F592" s="188">
        <v>30039</v>
      </c>
      <c r="G592" s="23" t="s">
        <v>10</v>
      </c>
      <c r="H592" s="180">
        <v>34.625742797833134</v>
      </c>
      <c r="I592" s="188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</row>
    <row r="593" spans="1:33" x14ac:dyDescent="0.3">
      <c r="A593" s="176" t="s">
        <v>1114</v>
      </c>
      <c r="B593" s="176" t="s">
        <v>1115</v>
      </c>
      <c r="C593" s="23" t="s">
        <v>9</v>
      </c>
      <c r="D593" s="23" t="s">
        <v>1837</v>
      </c>
      <c r="E593" s="25">
        <v>8091696804</v>
      </c>
      <c r="F593" s="188">
        <v>29379</v>
      </c>
      <c r="G593" s="23" t="s">
        <v>10</v>
      </c>
      <c r="H593" s="180">
        <v>30.978306134257487</v>
      </c>
      <c r="I593" s="188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</row>
    <row r="594" spans="1:33" x14ac:dyDescent="0.3">
      <c r="A594" s="176" t="s">
        <v>1116</v>
      </c>
      <c r="B594" s="176" t="s">
        <v>497</v>
      </c>
      <c r="C594" s="23" t="s">
        <v>29</v>
      </c>
      <c r="D594" s="23" t="s">
        <v>1838</v>
      </c>
      <c r="E594" s="25">
        <v>4092814530</v>
      </c>
      <c r="F594" s="188">
        <v>35625</v>
      </c>
      <c r="G594" s="23" t="s">
        <v>10</v>
      </c>
      <c r="H594" s="180">
        <v>34.219196862719791</v>
      </c>
      <c r="I594" s="188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</row>
    <row r="595" spans="1:33" x14ac:dyDescent="0.3">
      <c r="A595" s="176" t="s">
        <v>1117</v>
      </c>
      <c r="B595" s="176" t="s">
        <v>690</v>
      </c>
      <c r="C595" s="23" t="s">
        <v>40</v>
      </c>
      <c r="D595" s="23" t="s">
        <v>1839</v>
      </c>
      <c r="E595" s="25">
        <v>8178631557</v>
      </c>
      <c r="F595" s="188">
        <v>29487</v>
      </c>
      <c r="G595" s="23" t="s">
        <v>6</v>
      </c>
      <c r="H595" s="180">
        <v>30.306274343460547</v>
      </c>
      <c r="I595" s="188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</row>
    <row r="596" spans="1:33" x14ac:dyDescent="0.3">
      <c r="A596" s="176" t="s">
        <v>1118</v>
      </c>
      <c r="B596" s="176" t="s">
        <v>322</v>
      </c>
      <c r="C596" s="23" t="s">
        <v>31</v>
      </c>
      <c r="D596" s="23" t="s">
        <v>1840</v>
      </c>
      <c r="E596" s="25">
        <v>6057135797</v>
      </c>
      <c r="F596" s="188">
        <v>28537</v>
      </c>
      <c r="G596" s="23" t="s">
        <v>6</v>
      </c>
      <c r="H596" s="180">
        <v>36.087504648563062</v>
      </c>
      <c r="I596" s="188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</row>
    <row r="597" spans="1:33" x14ac:dyDescent="0.3">
      <c r="A597" s="176" t="s">
        <v>1119</v>
      </c>
      <c r="B597" s="176" t="s">
        <v>405</v>
      </c>
      <c r="C597" s="23" t="s">
        <v>9</v>
      </c>
      <c r="D597" s="23" t="s">
        <v>1506</v>
      </c>
      <c r="E597" s="25">
        <v>6147179128</v>
      </c>
      <c r="F597" s="188">
        <v>30367</v>
      </c>
      <c r="G597" s="23" t="s">
        <v>10</v>
      </c>
      <c r="H597" s="180">
        <v>30.961525239043311</v>
      </c>
      <c r="I597" s="188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</row>
    <row r="598" spans="1:33" x14ac:dyDescent="0.3">
      <c r="A598" s="176" t="s">
        <v>1120</v>
      </c>
      <c r="B598" s="176" t="s">
        <v>1121</v>
      </c>
      <c r="C598" s="23" t="s">
        <v>9</v>
      </c>
      <c r="D598" s="23" t="s">
        <v>1811</v>
      </c>
      <c r="E598" s="25">
        <v>2133431009</v>
      </c>
      <c r="F598" s="188">
        <v>31933</v>
      </c>
      <c r="G598" s="23" t="s">
        <v>6</v>
      </c>
      <c r="H598" s="180">
        <v>33.673514799422477</v>
      </c>
      <c r="I598" s="18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</row>
    <row r="599" spans="1:33" x14ac:dyDescent="0.3">
      <c r="A599" s="176" t="s">
        <v>1122</v>
      </c>
      <c r="B599" s="176" t="s">
        <v>930</v>
      </c>
      <c r="C599" s="23" t="s">
        <v>31</v>
      </c>
      <c r="D599" s="23" t="s">
        <v>1841</v>
      </c>
      <c r="E599" s="25">
        <v>3093848677</v>
      </c>
      <c r="F599" s="188">
        <v>32417</v>
      </c>
      <c r="G599" s="23" t="s">
        <v>6</v>
      </c>
      <c r="H599" s="180">
        <v>31.140883057285016</v>
      </c>
      <c r="I599" s="188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</row>
    <row r="600" spans="1:33" x14ac:dyDescent="0.3">
      <c r="A600" s="176" t="s">
        <v>1123</v>
      </c>
      <c r="B600" s="176" t="s">
        <v>1124</v>
      </c>
      <c r="C600" s="23" t="s">
        <v>23</v>
      </c>
      <c r="D600" s="23" t="s">
        <v>1842</v>
      </c>
      <c r="E600" s="25">
        <v>8156443692</v>
      </c>
      <c r="F600" s="188">
        <v>32648</v>
      </c>
      <c r="G600" s="23" t="s">
        <v>6</v>
      </c>
      <c r="H600" s="180">
        <v>31.945083751746999</v>
      </c>
      <c r="I600" s="188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</row>
    <row r="601" spans="1:33" x14ac:dyDescent="0.3">
      <c r="A601" s="176" t="s">
        <v>1125</v>
      </c>
      <c r="B601" s="176" t="s">
        <v>1126</v>
      </c>
      <c r="C601" s="23" t="s">
        <v>27</v>
      </c>
      <c r="D601" s="23" t="s">
        <v>1843</v>
      </c>
      <c r="E601" s="25">
        <v>3012485673</v>
      </c>
      <c r="F601" s="188">
        <v>32663</v>
      </c>
      <c r="G601" s="23" t="s">
        <v>10</v>
      </c>
      <c r="H601" s="180">
        <v>34.156897122460606</v>
      </c>
      <c r="I601" s="188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</row>
    <row r="602" spans="1:33" x14ac:dyDescent="0.3">
      <c r="A602" s="176" t="s">
        <v>1127</v>
      </c>
      <c r="B602" s="176" t="s">
        <v>314</v>
      </c>
      <c r="C602" s="23" t="s">
        <v>17</v>
      </c>
      <c r="D602" s="23" t="s">
        <v>1844</v>
      </c>
      <c r="E602" s="25">
        <v>4033891189</v>
      </c>
      <c r="F602" s="188">
        <v>32789</v>
      </c>
      <c r="G602" s="23" t="s">
        <v>33</v>
      </c>
      <c r="H602" s="180">
        <v>34.222713300130863</v>
      </c>
      <c r="I602" s="188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</row>
    <row r="603" spans="1:33" x14ac:dyDescent="0.3">
      <c r="A603" s="176" t="s">
        <v>1128</v>
      </c>
      <c r="B603" s="176" t="s">
        <v>1129</v>
      </c>
      <c r="C603" s="23" t="s">
        <v>28</v>
      </c>
      <c r="D603" s="23" t="s">
        <v>1845</v>
      </c>
      <c r="E603" s="25">
        <v>2018310129</v>
      </c>
      <c r="F603" s="188">
        <v>32694</v>
      </c>
      <c r="G603" s="23" t="s">
        <v>10</v>
      </c>
      <c r="H603" s="180">
        <v>31.771030072907209</v>
      </c>
      <c r="I603" s="188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</row>
    <row r="604" spans="1:33" x14ac:dyDescent="0.3">
      <c r="A604" s="176" t="s">
        <v>1130</v>
      </c>
      <c r="B604" s="176" t="s">
        <v>499</v>
      </c>
      <c r="C604" s="23" t="s">
        <v>30</v>
      </c>
      <c r="D604" s="23" t="s">
        <v>1846</v>
      </c>
      <c r="E604" s="25">
        <v>7061971988</v>
      </c>
      <c r="F604" s="188">
        <v>27859</v>
      </c>
      <c r="G604" s="23" t="s">
        <v>10</v>
      </c>
      <c r="H604" s="180">
        <v>33.718797707137959</v>
      </c>
      <c r="I604" s="188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</row>
    <row r="605" spans="1:33" x14ac:dyDescent="0.3">
      <c r="A605" s="176" t="s">
        <v>1131</v>
      </c>
      <c r="B605" s="176" t="s">
        <v>637</v>
      </c>
      <c r="C605" s="23" t="s">
        <v>28</v>
      </c>
      <c r="D605" s="23" t="s">
        <v>1847</v>
      </c>
      <c r="E605" s="25">
        <v>8045536623</v>
      </c>
      <c r="F605" s="188">
        <v>27858</v>
      </c>
      <c r="G605" s="23" t="s">
        <v>6</v>
      </c>
      <c r="H605" s="180">
        <v>30.852523265374721</v>
      </c>
      <c r="I605" s="188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</row>
    <row r="606" spans="1:33" x14ac:dyDescent="0.3">
      <c r="A606" s="176" t="s">
        <v>1132</v>
      </c>
      <c r="B606" s="176" t="s">
        <v>322</v>
      </c>
      <c r="C606" s="23" t="s">
        <v>17</v>
      </c>
      <c r="D606" s="23" t="s">
        <v>1848</v>
      </c>
      <c r="E606" s="25">
        <v>6087494648</v>
      </c>
      <c r="F606" s="188">
        <v>35747</v>
      </c>
      <c r="G606" s="23" t="s">
        <v>10</v>
      </c>
      <c r="H606" s="180">
        <v>36.11135257836338</v>
      </c>
      <c r="I606" s="188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</row>
    <row r="607" spans="1:33" x14ac:dyDescent="0.3">
      <c r="A607" s="176" t="s">
        <v>1133</v>
      </c>
      <c r="B607" s="176" t="s">
        <v>1013</v>
      </c>
      <c r="C607" s="23" t="s">
        <v>9</v>
      </c>
      <c r="D607" s="23" t="s">
        <v>1849</v>
      </c>
      <c r="E607" s="25">
        <v>3058865267</v>
      </c>
      <c r="F607" s="188">
        <v>29671</v>
      </c>
      <c r="G607" s="23" t="s">
        <v>18</v>
      </c>
      <c r="H607" s="180">
        <v>34.63940191788457</v>
      </c>
      <c r="I607" s="188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</row>
    <row r="608" spans="1:33" x14ac:dyDescent="0.3">
      <c r="A608" s="176" t="s">
        <v>1134</v>
      </c>
      <c r="B608" s="176" t="s">
        <v>481</v>
      </c>
      <c r="C608" s="23" t="s">
        <v>9</v>
      </c>
      <c r="D608" s="23" t="s">
        <v>1850</v>
      </c>
      <c r="E608" s="25">
        <v>7095821616</v>
      </c>
      <c r="F608" s="188">
        <v>35708</v>
      </c>
      <c r="G608" s="23" t="s">
        <v>10</v>
      </c>
      <c r="H608" s="180">
        <v>39.175547390252802</v>
      </c>
      <c r="I608" s="18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</row>
    <row r="609" spans="1:33" x14ac:dyDescent="0.3">
      <c r="A609" s="176" t="s">
        <v>1135</v>
      </c>
      <c r="B609" s="176" t="s">
        <v>1136</v>
      </c>
      <c r="C609" s="23" t="s">
        <v>27</v>
      </c>
      <c r="D609" s="23" t="s">
        <v>1851</v>
      </c>
      <c r="E609" s="25">
        <v>3092889972</v>
      </c>
      <c r="F609" s="188">
        <v>28497</v>
      </c>
      <c r="G609" s="23" t="s">
        <v>10</v>
      </c>
      <c r="H609" s="180">
        <v>35.007813593408585</v>
      </c>
      <c r="I609" s="188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</row>
    <row r="610" spans="1:33" x14ac:dyDescent="0.3">
      <c r="A610" s="176" t="s">
        <v>1137</v>
      </c>
      <c r="B610" s="176" t="s">
        <v>453</v>
      </c>
      <c r="C610" s="23" t="s">
        <v>5</v>
      </c>
      <c r="D610" s="23" t="s">
        <v>1852</v>
      </c>
      <c r="E610" s="25">
        <v>2012639452</v>
      </c>
      <c r="F610" s="188">
        <v>29369</v>
      </c>
      <c r="G610" s="23" t="s">
        <v>10</v>
      </c>
      <c r="H610" s="180">
        <v>36.927411266067423</v>
      </c>
      <c r="I610" s="188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</row>
    <row r="611" spans="1:33" x14ac:dyDescent="0.3">
      <c r="A611" s="176" t="s">
        <v>1138</v>
      </c>
      <c r="B611" s="176" t="s">
        <v>395</v>
      </c>
      <c r="C611" s="23" t="s">
        <v>25</v>
      </c>
      <c r="D611" s="23" t="s">
        <v>1853</v>
      </c>
      <c r="E611" s="25">
        <v>5188033253</v>
      </c>
      <c r="F611" s="188">
        <v>29787</v>
      </c>
      <c r="G611" s="23" t="s">
        <v>10</v>
      </c>
      <c r="H611" s="180">
        <v>38.155341969851399</v>
      </c>
      <c r="I611" s="188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</row>
    <row r="612" spans="1:33" x14ac:dyDescent="0.3">
      <c r="A612" s="176" t="s">
        <v>1139</v>
      </c>
      <c r="B612" s="176" t="s">
        <v>499</v>
      </c>
      <c r="C612" s="23" t="s">
        <v>25</v>
      </c>
      <c r="D612" s="23" t="s">
        <v>1854</v>
      </c>
      <c r="E612" s="25">
        <v>9175157047</v>
      </c>
      <c r="F612" s="188">
        <v>35194</v>
      </c>
      <c r="G612" s="23" t="s">
        <v>33</v>
      </c>
      <c r="H612" s="180">
        <v>33.856695772415556</v>
      </c>
      <c r="I612" s="188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</row>
    <row r="613" spans="1:33" x14ac:dyDescent="0.3">
      <c r="A613" s="176" t="s">
        <v>1140</v>
      </c>
      <c r="B613" s="176" t="s">
        <v>1141</v>
      </c>
      <c r="C613" s="23" t="s">
        <v>31</v>
      </c>
      <c r="D613" s="23" t="s">
        <v>1855</v>
      </c>
      <c r="E613" s="25">
        <v>9183922813</v>
      </c>
      <c r="F613" s="188">
        <v>28025</v>
      </c>
      <c r="G613" s="23" t="s">
        <v>10</v>
      </c>
      <c r="H613" s="180">
        <v>32.111890285263542</v>
      </c>
      <c r="I613" s="188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</row>
    <row r="614" spans="1:33" x14ac:dyDescent="0.3">
      <c r="A614" s="176" t="s">
        <v>1142</v>
      </c>
      <c r="B614" s="176" t="s">
        <v>1016</v>
      </c>
      <c r="C614" s="23" t="s">
        <v>28</v>
      </c>
      <c r="D614" s="23" t="s">
        <v>1856</v>
      </c>
      <c r="E614" s="25">
        <v>7162229885</v>
      </c>
      <c r="F614" s="188">
        <v>27920</v>
      </c>
      <c r="G614" s="23" t="s">
        <v>10</v>
      </c>
      <c r="H614" s="180">
        <v>30.806271142792145</v>
      </c>
      <c r="I614" s="188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</row>
    <row r="615" spans="1:33" x14ac:dyDescent="0.3">
      <c r="A615" s="176" t="s">
        <v>230</v>
      </c>
      <c r="B615" s="176" t="s">
        <v>231</v>
      </c>
      <c r="C615" s="23" t="s">
        <v>23</v>
      </c>
      <c r="D615" s="23" t="s">
        <v>1857</v>
      </c>
      <c r="E615" s="25">
        <v>2183204992</v>
      </c>
      <c r="F615" s="188">
        <v>28613</v>
      </c>
      <c r="G615" s="23" t="s">
        <v>10</v>
      </c>
      <c r="H615" s="180">
        <v>36.142901523631778</v>
      </c>
      <c r="I615" s="188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</row>
    <row r="616" spans="1:33" x14ac:dyDescent="0.3">
      <c r="A616" s="176" t="s">
        <v>1143</v>
      </c>
      <c r="B616" s="176" t="s">
        <v>279</v>
      </c>
      <c r="C616" s="23" t="s">
        <v>25</v>
      </c>
      <c r="D616" s="23" t="s">
        <v>1858</v>
      </c>
      <c r="E616" s="25">
        <v>8052693355</v>
      </c>
      <c r="F616" s="188">
        <v>28933</v>
      </c>
      <c r="G616" s="23" t="s">
        <v>6</v>
      </c>
      <c r="H616" s="180">
        <v>39.461982787558064</v>
      </c>
      <c r="I616" s="188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</row>
    <row r="617" spans="1:33" x14ac:dyDescent="0.3">
      <c r="A617" s="176" t="s">
        <v>1144</v>
      </c>
      <c r="B617" s="176" t="s">
        <v>1145</v>
      </c>
      <c r="C617" s="23" t="s">
        <v>26</v>
      </c>
      <c r="D617" s="23" t="s">
        <v>1859</v>
      </c>
      <c r="E617" s="25">
        <v>8132238535</v>
      </c>
      <c r="F617" s="188">
        <v>29787</v>
      </c>
      <c r="G617" s="23" t="s">
        <v>10</v>
      </c>
      <c r="H617" s="180">
        <v>37.698094979914877</v>
      </c>
      <c r="I617" s="188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</row>
    <row r="618" spans="1:33" x14ac:dyDescent="0.3">
      <c r="A618" s="176" t="s">
        <v>1146</v>
      </c>
      <c r="B618" s="176" t="s">
        <v>1147</v>
      </c>
      <c r="C618" s="23" t="s">
        <v>40</v>
      </c>
      <c r="D618" s="23" t="s">
        <v>1860</v>
      </c>
      <c r="E618" s="25">
        <v>7092581491</v>
      </c>
      <c r="F618" s="188">
        <v>30496</v>
      </c>
      <c r="G618" s="23" t="s">
        <v>18</v>
      </c>
      <c r="H618" s="180">
        <v>38.987789226044015</v>
      </c>
      <c r="I618" s="18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</row>
    <row r="619" spans="1:33" x14ac:dyDescent="0.3">
      <c r="A619" s="176" t="s">
        <v>1148</v>
      </c>
      <c r="B619" s="176" t="s">
        <v>1100</v>
      </c>
      <c r="C619" s="23" t="s">
        <v>28</v>
      </c>
      <c r="D619" s="23" t="s">
        <v>1861</v>
      </c>
      <c r="E619" s="25">
        <v>9185990139</v>
      </c>
      <c r="F619" s="188">
        <v>34693</v>
      </c>
      <c r="G619" s="23" t="s">
        <v>10</v>
      </c>
      <c r="H619" s="180">
        <v>33.879352425669971</v>
      </c>
      <c r="I619" s="188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</row>
    <row r="620" spans="1:33" x14ac:dyDescent="0.3">
      <c r="A620" s="176" t="s">
        <v>1149</v>
      </c>
      <c r="B620" s="176" t="s">
        <v>592</v>
      </c>
      <c r="C620" s="23" t="s">
        <v>9</v>
      </c>
      <c r="D620" s="23" t="s">
        <v>1862</v>
      </c>
      <c r="E620" s="25">
        <v>5034794769</v>
      </c>
      <c r="F620" s="188">
        <v>29899</v>
      </c>
      <c r="G620" s="23" t="s">
        <v>10</v>
      </c>
      <c r="H620" s="180">
        <v>37.562861305993671</v>
      </c>
      <c r="I620" s="188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</row>
    <row r="621" spans="1:33" x14ac:dyDescent="0.3">
      <c r="A621" s="176" t="s">
        <v>1150</v>
      </c>
      <c r="B621" s="176" t="s">
        <v>310</v>
      </c>
      <c r="C621" s="23" t="s">
        <v>5</v>
      </c>
      <c r="D621" s="23" t="s">
        <v>1863</v>
      </c>
      <c r="E621" s="25">
        <v>5157046530</v>
      </c>
      <c r="F621" s="188">
        <v>33339</v>
      </c>
      <c r="G621" s="23" t="s">
        <v>10</v>
      </c>
      <c r="H621" s="180">
        <v>34.830901107423607</v>
      </c>
      <c r="I621" s="188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</row>
    <row r="622" spans="1:33" x14ac:dyDescent="0.3">
      <c r="A622" s="176" t="s">
        <v>1151</v>
      </c>
      <c r="B622" s="176" t="s">
        <v>783</v>
      </c>
      <c r="C622" s="23" t="s">
        <v>23</v>
      </c>
      <c r="D622" s="23" t="s">
        <v>1864</v>
      </c>
      <c r="E622" s="25">
        <v>9182727944</v>
      </c>
      <c r="F622" s="188">
        <v>34836</v>
      </c>
      <c r="G622" s="23" t="s">
        <v>6</v>
      </c>
      <c r="H622" s="180">
        <v>31.492058582476844</v>
      </c>
      <c r="I622" s="188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</row>
    <row r="623" spans="1:33" x14ac:dyDescent="0.3">
      <c r="A623" s="176" t="s">
        <v>1152</v>
      </c>
      <c r="B623" s="176" t="s">
        <v>838</v>
      </c>
      <c r="C623" s="23" t="s">
        <v>25</v>
      </c>
      <c r="D623" s="23" t="s">
        <v>1865</v>
      </c>
      <c r="E623" s="25">
        <v>3126705508</v>
      </c>
      <c r="F623" s="188">
        <v>30039</v>
      </c>
      <c r="G623" s="23" t="s">
        <v>6</v>
      </c>
      <c r="H623" s="180">
        <v>34.033292647404238</v>
      </c>
      <c r="I623" s="188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</row>
    <row r="624" spans="1:33" x14ac:dyDescent="0.3">
      <c r="A624" s="176" t="s">
        <v>1153</v>
      </c>
      <c r="B624" s="176" t="s">
        <v>434</v>
      </c>
      <c r="C624" s="23" t="s">
        <v>26</v>
      </c>
      <c r="D624" s="23" t="s">
        <v>1866</v>
      </c>
      <c r="E624" s="25">
        <v>3143046338</v>
      </c>
      <c r="F624" s="188">
        <v>29379</v>
      </c>
      <c r="G624" s="23" t="s">
        <v>10</v>
      </c>
      <c r="H624" s="180">
        <v>33.639984027898677</v>
      </c>
      <c r="I624" s="188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</row>
    <row r="625" spans="1:33" x14ac:dyDescent="0.3">
      <c r="A625" s="176" t="s">
        <v>1154</v>
      </c>
      <c r="B625" s="176" t="s">
        <v>1155</v>
      </c>
      <c r="C625" s="23" t="s">
        <v>41</v>
      </c>
      <c r="D625" s="23" t="s">
        <v>1867</v>
      </c>
      <c r="E625" s="25">
        <v>2153646601</v>
      </c>
      <c r="F625" s="188">
        <v>35625</v>
      </c>
      <c r="G625" s="23" t="s">
        <v>33</v>
      </c>
      <c r="H625" s="180">
        <v>31.198347279067058</v>
      </c>
      <c r="I625" s="188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</row>
    <row r="626" spans="1:33" x14ac:dyDescent="0.3">
      <c r="A626" s="176" t="s">
        <v>1156</v>
      </c>
      <c r="B626" s="176" t="s">
        <v>738</v>
      </c>
      <c r="C626" s="23" t="s">
        <v>27</v>
      </c>
      <c r="D626" s="23" t="s">
        <v>1868</v>
      </c>
      <c r="E626" s="25">
        <v>9162447501</v>
      </c>
      <c r="F626" s="188">
        <v>29487</v>
      </c>
      <c r="G626" s="23" t="s">
        <v>10</v>
      </c>
      <c r="H626" s="180">
        <v>38.994264764479809</v>
      </c>
      <c r="I626" s="188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</row>
    <row r="627" spans="1:33" x14ac:dyDescent="0.3">
      <c r="A627" s="176" t="s">
        <v>1157</v>
      </c>
      <c r="B627" s="176" t="s">
        <v>732</v>
      </c>
      <c r="C627" s="23" t="s">
        <v>31</v>
      </c>
      <c r="D627" s="23" t="s">
        <v>1869</v>
      </c>
      <c r="E627" s="25">
        <v>5021656242</v>
      </c>
      <c r="F627" s="188">
        <v>28537</v>
      </c>
      <c r="G627" s="23" t="s">
        <v>18</v>
      </c>
      <c r="H627" s="180">
        <v>37.612653436315888</v>
      </c>
      <c r="I627" s="188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</row>
    <row r="628" spans="1:33" x14ac:dyDescent="0.3">
      <c r="A628" s="176" t="s">
        <v>1158</v>
      </c>
      <c r="B628" s="176" t="s">
        <v>671</v>
      </c>
      <c r="C628" s="23" t="s">
        <v>25</v>
      </c>
      <c r="D628" s="23" t="s">
        <v>1870</v>
      </c>
      <c r="E628" s="25">
        <v>2033199265</v>
      </c>
      <c r="F628" s="188">
        <v>30367</v>
      </c>
      <c r="G628" s="23" t="s">
        <v>6</v>
      </c>
      <c r="H628" s="180">
        <v>32.577034076608932</v>
      </c>
      <c r="I628" s="18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</row>
    <row r="629" spans="1:33" x14ac:dyDescent="0.3">
      <c r="A629" s="176" t="s">
        <v>1159</v>
      </c>
      <c r="B629" s="176" t="s">
        <v>504</v>
      </c>
      <c r="C629" s="23" t="s">
        <v>23</v>
      </c>
      <c r="D629" s="23" t="s">
        <v>1871</v>
      </c>
      <c r="E629" s="25">
        <v>5093717553</v>
      </c>
      <c r="F629" s="188">
        <v>31933</v>
      </c>
      <c r="G629" s="23" t="s">
        <v>10</v>
      </c>
      <c r="H629" s="180">
        <v>34.301353669822049</v>
      </c>
      <c r="I629" s="188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</row>
    <row r="630" spans="1:33" x14ac:dyDescent="0.3">
      <c r="A630" s="176" t="s">
        <v>1160</v>
      </c>
      <c r="B630" s="176" t="s">
        <v>1161</v>
      </c>
      <c r="C630" s="23" t="s">
        <v>9</v>
      </c>
      <c r="D630" s="23" t="s">
        <v>1872</v>
      </c>
      <c r="E630" s="25">
        <v>5087660273</v>
      </c>
      <c r="F630" s="188">
        <v>32417</v>
      </c>
      <c r="G630" s="23" t="s">
        <v>6</v>
      </c>
      <c r="H630" s="180">
        <v>36.644633655163169</v>
      </c>
      <c r="I630" s="188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</row>
    <row r="631" spans="1:33" x14ac:dyDescent="0.3">
      <c r="A631" s="176" t="s">
        <v>1162</v>
      </c>
      <c r="B631" s="176" t="s">
        <v>564</v>
      </c>
      <c r="C631" s="23" t="s">
        <v>35</v>
      </c>
      <c r="D631" s="23" t="s">
        <v>1873</v>
      </c>
      <c r="E631" s="25">
        <v>7172572783</v>
      </c>
      <c r="F631" s="188">
        <v>32648</v>
      </c>
      <c r="G631" s="23" t="s">
        <v>10</v>
      </c>
      <c r="H631" s="180">
        <v>36.876470974877854</v>
      </c>
      <c r="I631" s="188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</row>
    <row r="632" spans="1:33" x14ac:dyDescent="0.3">
      <c r="A632" s="176" t="s">
        <v>1163</v>
      </c>
      <c r="B632" s="176" t="s">
        <v>1164</v>
      </c>
      <c r="C632" s="23" t="s">
        <v>28</v>
      </c>
      <c r="D632" s="23" t="s">
        <v>1874</v>
      </c>
      <c r="E632" s="25">
        <v>6162824485</v>
      </c>
      <c r="F632" s="188">
        <v>32663</v>
      </c>
      <c r="G632" s="23" t="s">
        <v>10</v>
      </c>
      <c r="H632" s="180">
        <v>33.898987826923957</v>
      </c>
      <c r="I632" s="188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</row>
    <row r="633" spans="1:33" x14ac:dyDescent="0.3">
      <c r="A633" s="176" t="s">
        <v>1165</v>
      </c>
      <c r="B633" s="176" t="s">
        <v>1166</v>
      </c>
      <c r="C633" s="23" t="s">
        <v>27</v>
      </c>
      <c r="D633" s="23" t="s">
        <v>1875</v>
      </c>
      <c r="E633" s="25">
        <v>7193906310</v>
      </c>
      <c r="F633" s="188">
        <v>32789</v>
      </c>
      <c r="G633" s="23" t="s">
        <v>18</v>
      </c>
      <c r="H633" s="180">
        <v>33.458252722360157</v>
      </c>
      <c r="I633" s="188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</row>
    <row r="634" spans="1:33" x14ac:dyDescent="0.3">
      <c r="A634" s="176" t="s">
        <v>1167</v>
      </c>
      <c r="B634" s="176" t="s">
        <v>1168</v>
      </c>
      <c r="C634" s="23" t="s">
        <v>9</v>
      </c>
      <c r="D634" s="23" t="s">
        <v>1362</v>
      </c>
      <c r="E634" s="25">
        <v>2165202015</v>
      </c>
      <c r="F634" s="188">
        <v>30152</v>
      </c>
      <c r="G634" s="23" t="s">
        <v>6</v>
      </c>
      <c r="H634" s="180">
        <v>34.788230368027499</v>
      </c>
      <c r="I634" s="188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</row>
    <row r="635" spans="1:33" x14ac:dyDescent="0.3">
      <c r="A635" s="176" t="s">
        <v>1169</v>
      </c>
      <c r="B635" s="176" t="s">
        <v>322</v>
      </c>
      <c r="C635" s="23" t="s">
        <v>23</v>
      </c>
      <c r="D635" s="23" t="s">
        <v>1876</v>
      </c>
      <c r="E635" s="25">
        <v>7016040465</v>
      </c>
      <c r="F635" s="188">
        <v>33961</v>
      </c>
      <c r="G635" s="23" t="s">
        <v>6</v>
      </c>
      <c r="H635" s="180">
        <v>31.067812965473362</v>
      </c>
      <c r="I635" s="188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</row>
    <row r="636" spans="1:33" x14ac:dyDescent="0.3">
      <c r="A636" s="176" t="s">
        <v>1170</v>
      </c>
      <c r="B636" s="176" t="s">
        <v>1171</v>
      </c>
      <c r="C636" s="23" t="s">
        <v>35</v>
      </c>
      <c r="D636" s="23" t="s">
        <v>1877</v>
      </c>
      <c r="E636" s="25">
        <v>7114479196</v>
      </c>
      <c r="F636" s="188">
        <v>28848</v>
      </c>
      <c r="G636" s="23" t="s">
        <v>18</v>
      </c>
      <c r="H636" s="180">
        <v>38.230350514789066</v>
      </c>
      <c r="I636" s="188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</row>
    <row r="637" spans="1:33" x14ac:dyDescent="0.3">
      <c r="A637" s="176" t="s">
        <v>1172</v>
      </c>
      <c r="B637" s="176" t="s">
        <v>500</v>
      </c>
      <c r="C637" s="23" t="s">
        <v>27</v>
      </c>
      <c r="D637" s="23" t="s">
        <v>1878</v>
      </c>
      <c r="E637" s="25">
        <v>8191391475</v>
      </c>
      <c r="F637" s="188">
        <v>30631</v>
      </c>
      <c r="G637" s="23" t="s">
        <v>6</v>
      </c>
      <c r="H637" s="180">
        <v>30.301245528424428</v>
      </c>
      <c r="I637" s="188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</row>
    <row r="638" spans="1:33" x14ac:dyDescent="0.3">
      <c r="A638" s="176" t="s">
        <v>1173</v>
      </c>
      <c r="B638" s="176" t="s">
        <v>1174</v>
      </c>
      <c r="C638" s="23" t="s">
        <v>27</v>
      </c>
      <c r="D638" s="23" t="s">
        <v>1879</v>
      </c>
      <c r="E638" s="25">
        <v>6058426889</v>
      </c>
      <c r="F638" s="188">
        <v>28311</v>
      </c>
      <c r="G638" s="23" t="s">
        <v>18</v>
      </c>
      <c r="H638" s="180">
        <v>33.17168387064514</v>
      </c>
      <c r="I638" s="18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</row>
    <row r="639" spans="1:33" x14ac:dyDescent="0.3">
      <c r="A639" s="176" t="s">
        <v>1175</v>
      </c>
      <c r="B639" s="176" t="s">
        <v>1176</v>
      </c>
      <c r="C639" s="23" t="s">
        <v>27</v>
      </c>
      <c r="D639" s="23" t="s">
        <v>1880</v>
      </c>
      <c r="E639" s="25">
        <v>8128824849</v>
      </c>
      <c r="F639" s="188">
        <v>29702</v>
      </c>
      <c r="G639" s="23" t="s">
        <v>10</v>
      </c>
      <c r="H639" s="180">
        <v>30.451650355157717</v>
      </c>
      <c r="I639" s="188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</row>
    <row r="640" spans="1:33" x14ac:dyDescent="0.3">
      <c r="A640" s="176" t="s">
        <v>1177</v>
      </c>
      <c r="B640" s="176" t="s">
        <v>1178</v>
      </c>
      <c r="C640" s="23" t="s">
        <v>28</v>
      </c>
      <c r="D640" s="23" t="s">
        <v>1881</v>
      </c>
      <c r="E640" s="25">
        <v>6014785979</v>
      </c>
      <c r="F640" s="188">
        <v>32694</v>
      </c>
      <c r="G640" s="23" t="s">
        <v>18</v>
      </c>
      <c r="H640" s="180">
        <v>35.440250721848798</v>
      </c>
      <c r="I640" s="188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</row>
    <row r="641" spans="1:33" x14ac:dyDescent="0.3">
      <c r="A641" s="176" t="s">
        <v>1179</v>
      </c>
      <c r="B641" s="176" t="s">
        <v>800</v>
      </c>
      <c r="C641" s="23" t="s">
        <v>5</v>
      </c>
      <c r="D641" s="23" t="s">
        <v>1882</v>
      </c>
      <c r="E641" s="25">
        <v>3155441252</v>
      </c>
      <c r="F641" s="188">
        <v>27859</v>
      </c>
      <c r="G641" s="23" t="s">
        <v>10</v>
      </c>
      <c r="H641" s="180">
        <v>39.047985670222843</v>
      </c>
      <c r="I641" s="188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</row>
    <row r="642" spans="1:33" x14ac:dyDescent="0.3">
      <c r="A642" s="176" t="s">
        <v>1180</v>
      </c>
      <c r="B642" s="176" t="s">
        <v>1181</v>
      </c>
      <c r="C642" s="23" t="s">
        <v>5</v>
      </c>
      <c r="D642" s="23" t="s">
        <v>1883</v>
      </c>
      <c r="E642" s="25">
        <v>2197358099</v>
      </c>
      <c r="F642" s="188">
        <v>27858</v>
      </c>
      <c r="G642" s="23" t="s">
        <v>6</v>
      </c>
      <c r="H642" s="180">
        <v>39.704468132016693</v>
      </c>
      <c r="I642" s="188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</row>
    <row r="643" spans="1:33" x14ac:dyDescent="0.3">
      <c r="A643" s="176" t="s">
        <v>228</v>
      </c>
      <c r="B643" s="176" t="s">
        <v>229</v>
      </c>
      <c r="C643" s="23" t="s">
        <v>23</v>
      </c>
      <c r="D643" s="23" t="s">
        <v>1884</v>
      </c>
      <c r="E643" s="25">
        <v>9144944596</v>
      </c>
      <c r="F643" s="188">
        <v>35747</v>
      </c>
      <c r="G643" s="23" t="s">
        <v>6</v>
      </c>
      <c r="H643" s="180">
        <v>31.513174171752254</v>
      </c>
      <c r="I643" s="188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</row>
    <row r="644" spans="1:33" x14ac:dyDescent="0.3">
      <c r="A644" s="176" t="s">
        <v>1182</v>
      </c>
      <c r="B644" s="176" t="s">
        <v>348</v>
      </c>
      <c r="C644" s="23" t="s">
        <v>27</v>
      </c>
      <c r="D644" s="23" t="s">
        <v>1885</v>
      </c>
      <c r="E644" s="25">
        <v>4086860208</v>
      </c>
      <c r="F644" s="188">
        <v>29671</v>
      </c>
      <c r="G644" s="23" t="s">
        <v>10</v>
      </c>
      <c r="H644" s="180">
        <v>39.568866607386404</v>
      </c>
      <c r="I644" s="188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</row>
    <row r="645" spans="1:33" x14ac:dyDescent="0.3">
      <c r="A645" s="176" t="s">
        <v>1183</v>
      </c>
      <c r="B645" s="176" t="s">
        <v>1184</v>
      </c>
      <c r="C645" s="23" t="s">
        <v>28</v>
      </c>
      <c r="D645" s="23" t="s">
        <v>1886</v>
      </c>
      <c r="E645" s="25">
        <v>2083533906</v>
      </c>
      <c r="F645" s="188">
        <v>35708</v>
      </c>
      <c r="G645" s="23" t="s">
        <v>6</v>
      </c>
      <c r="H645" s="180">
        <v>39.688988040699975</v>
      </c>
      <c r="I645" s="188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</row>
    <row r="646" spans="1:33" x14ac:dyDescent="0.3">
      <c r="A646" s="176" t="s">
        <v>1185</v>
      </c>
      <c r="B646" s="176" t="s">
        <v>1186</v>
      </c>
      <c r="C646" s="23" t="s">
        <v>29</v>
      </c>
      <c r="D646" s="23" t="s">
        <v>1887</v>
      </c>
      <c r="E646" s="25">
        <v>3053986051</v>
      </c>
      <c r="F646" s="188">
        <v>28497</v>
      </c>
      <c r="G646" s="23" t="s">
        <v>6</v>
      </c>
      <c r="H646" s="180">
        <v>31.225394059514706</v>
      </c>
      <c r="I646" s="188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</row>
    <row r="647" spans="1:33" x14ac:dyDescent="0.3">
      <c r="A647" s="176" t="s">
        <v>1187</v>
      </c>
      <c r="B647" s="176" t="s">
        <v>310</v>
      </c>
      <c r="C647" s="23" t="s">
        <v>9</v>
      </c>
      <c r="D647" s="23" t="s">
        <v>1888</v>
      </c>
      <c r="E647" s="25">
        <v>2117051004</v>
      </c>
      <c r="F647" s="188">
        <v>29369</v>
      </c>
      <c r="G647" s="23" t="s">
        <v>10</v>
      </c>
      <c r="H647" s="180">
        <v>34.914569513946475</v>
      </c>
      <c r="I647" s="188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</row>
    <row r="648" spans="1:33" x14ac:dyDescent="0.3">
      <c r="A648" s="176" t="s">
        <v>1188</v>
      </c>
      <c r="B648" s="176" t="s">
        <v>279</v>
      </c>
      <c r="C648" s="23" t="s">
        <v>9</v>
      </c>
      <c r="D648" s="23" t="s">
        <v>1889</v>
      </c>
      <c r="E648" s="25">
        <v>4173014821</v>
      </c>
      <c r="F648" s="188">
        <v>29787</v>
      </c>
      <c r="G648" s="23" t="s">
        <v>33</v>
      </c>
      <c r="H648" s="180">
        <v>36.016117978195417</v>
      </c>
      <c r="I648" s="18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</row>
    <row r="649" spans="1:33" x14ac:dyDescent="0.3">
      <c r="A649" s="176" t="s">
        <v>1189</v>
      </c>
      <c r="B649" s="176" t="s">
        <v>509</v>
      </c>
      <c r="C649" s="23" t="s">
        <v>23</v>
      </c>
      <c r="D649" s="23" t="s">
        <v>1411</v>
      </c>
      <c r="E649" s="25">
        <v>8018385730</v>
      </c>
      <c r="F649" s="188">
        <v>35194</v>
      </c>
      <c r="G649" s="23" t="s">
        <v>10</v>
      </c>
      <c r="H649" s="180">
        <v>37.633513786936824</v>
      </c>
      <c r="I649" s="188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</row>
    <row r="650" spans="1:33" x14ac:dyDescent="0.3">
      <c r="A650" s="176" t="s">
        <v>1190</v>
      </c>
      <c r="B650" s="176" t="s">
        <v>499</v>
      </c>
      <c r="C650" s="23" t="s">
        <v>31</v>
      </c>
      <c r="D650" s="23" t="s">
        <v>1732</v>
      </c>
      <c r="E650" s="25">
        <v>8141449596</v>
      </c>
      <c r="F650" s="188">
        <v>28025</v>
      </c>
      <c r="G650" s="23" t="s">
        <v>6</v>
      </c>
      <c r="H650" s="180">
        <v>38.818601999772739</v>
      </c>
      <c r="I650" s="188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</row>
    <row r="651" spans="1:33" x14ac:dyDescent="0.3">
      <c r="A651" s="176" t="s">
        <v>1191</v>
      </c>
      <c r="B651" s="176" t="s">
        <v>322</v>
      </c>
      <c r="C651" s="23" t="s">
        <v>26</v>
      </c>
      <c r="D651" s="23" t="s">
        <v>1890</v>
      </c>
      <c r="E651" s="25">
        <v>9028488350</v>
      </c>
      <c r="F651" s="188">
        <v>27920</v>
      </c>
      <c r="G651" s="23" t="s">
        <v>10</v>
      </c>
      <c r="H651" s="180">
        <v>38.696084634697627</v>
      </c>
      <c r="I651" s="188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</row>
    <row r="652" spans="1:33" x14ac:dyDescent="0.3">
      <c r="A652" s="176" t="s">
        <v>1192</v>
      </c>
      <c r="B652" s="176" t="s">
        <v>1164</v>
      </c>
      <c r="C652" s="23" t="s">
        <v>9</v>
      </c>
      <c r="D652" s="23" t="s">
        <v>1891</v>
      </c>
      <c r="E652" s="25">
        <v>8153967339</v>
      </c>
      <c r="F652" s="188">
        <v>28613</v>
      </c>
      <c r="G652" s="23" t="s">
        <v>10</v>
      </c>
      <c r="H652" s="180">
        <v>36.204439259421875</v>
      </c>
      <c r="I652" s="188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</row>
    <row r="653" spans="1:33" x14ac:dyDescent="0.3">
      <c r="A653" s="176" t="s">
        <v>1193</v>
      </c>
      <c r="B653" s="176" t="s">
        <v>1194</v>
      </c>
      <c r="C653" s="23" t="s">
        <v>28</v>
      </c>
      <c r="D653" s="23" t="s">
        <v>1892</v>
      </c>
      <c r="E653" s="25">
        <v>5142354572</v>
      </c>
      <c r="F653" s="188">
        <v>28933</v>
      </c>
      <c r="G653" s="23" t="s">
        <v>18</v>
      </c>
      <c r="H653" s="180">
        <v>37.331015745993028</v>
      </c>
      <c r="I653" s="188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</row>
    <row r="654" spans="1:33" x14ac:dyDescent="0.3">
      <c r="A654" s="176" t="s">
        <v>1195</v>
      </c>
      <c r="B654" s="176" t="s">
        <v>1196</v>
      </c>
      <c r="C654" s="23" t="s">
        <v>17</v>
      </c>
      <c r="D654" s="23" t="s">
        <v>1893</v>
      </c>
      <c r="E654" s="25">
        <v>5198294156</v>
      </c>
      <c r="F654" s="188">
        <v>29787</v>
      </c>
      <c r="G654" s="23" t="s">
        <v>10</v>
      </c>
      <c r="H654" s="180">
        <v>34.283284163286957</v>
      </c>
      <c r="I654" s="188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</row>
    <row r="655" spans="1:33" x14ac:dyDescent="0.3">
      <c r="A655" s="176" t="s">
        <v>1197</v>
      </c>
      <c r="B655" s="176" t="s">
        <v>285</v>
      </c>
      <c r="C655" s="23" t="s">
        <v>31</v>
      </c>
      <c r="D655" s="23" t="s">
        <v>1894</v>
      </c>
      <c r="E655" s="25">
        <v>3113547588</v>
      </c>
      <c r="F655" s="188">
        <v>30496</v>
      </c>
      <c r="G655" s="23" t="s">
        <v>6</v>
      </c>
      <c r="H655" s="180">
        <v>32.806019666342522</v>
      </c>
      <c r="I655" s="188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</row>
    <row r="656" spans="1:33" x14ac:dyDescent="0.3">
      <c r="A656" s="176" t="s">
        <v>1198</v>
      </c>
      <c r="B656" s="176" t="s">
        <v>800</v>
      </c>
      <c r="C656" s="23" t="s">
        <v>9</v>
      </c>
      <c r="D656" s="23" t="s">
        <v>1895</v>
      </c>
      <c r="E656" s="25">
        <v>4043162442</v>
      </c>
      <c r="F656" s="188">
        <v>34693</v>
      </c>
      <c r="G656" s="23" t="s">
        <v>6</v>
      </c>
      <c r="H656" s="180">
        <v>36.619293979106864</v>
      </c>
      <c r="I656" s="188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</row>
    <row r="657" spans="1:33" x14ac:dyDescent="0.3">
      <c r="A657" s="176" t="s">
        <v>1199</v>
      </c>
      <c r="B657" s="176" t="s">
        <v>1200</v>
      </c>
      <c r="C657" s="23" t="s">
        <v>17</v>
      </c>
      <c r="D657" s="23" t="s">
        <v>1896</v>
      </c>
      <c r="E657" s="25">
        <v>7141675237</v>
      </c>
      <c r="F657" s="188">
        <v>29899</v>
      </c>
      <c r="G657" s="23" t="s">
        <v>10</v>
      </c>
      <c r="H657" s="180">
        <v>37.21191723674297</v>
      </c>
      <c r="I657" s="188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</row>
    <row r="658" spans="1:33" x14ac:dyDescent="0.3">
      <c r="A658" s="176" t="s">
        <v>1201</v>
      </c>
      <c r="B658" s="176" t="s">
        <v>516</v>
      </c>
      <c r="C658" s="23" t="s">
        <v>40</v>
      </c>
      <c r="D658" s="23" t="s">
        <v>1897</v>
      </c>
      <c r="E658" s="25">
        <v>8088922252</v>
      </c>
      <c r="F658" s="188">
        <v>33339</v>
      </c>
      <c r="G658" s="23" t="s">
        <v>10</v>
      </c>
      <c r="H658" s="180">
        <v>33.673535832064601</v>
      </c>
      <c r="I658" s="18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</row>
    <row r="659" spans="1:33" x14ac:dyDescent="0.3">
      <c r="A659" s="176" t="s">
        <v>1202</v>
      </c>
      <c r="B659" s="176" t="s">
        <v>1203</v>
      </c>
      <c r="C659" s="23" t="s">
        <v>24</v>
      </c>
      <c r="D659" s="23" t="s">
        <v>1898</v>
      </c>
      <c r="E659" s="25">
        <v>7086681578</v>
      </c>
      <c r="F659" s="188">
        <v>34836</v>
      </c>
      <c r="G659" s="23" t="s">
        <v>10</v>
      </c>
      <c r="H659" s="180">
        <v>39.440628295540591</v>
      </c>
      <c r="I659" s="188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</row>
    <row r="660" spans="1:33" x14ac:dyDescent="0.3">
      <c r="A660" s="176" t="s">
        <v>1204</v>
      </c>
      <c r="B660" s="176" t="s">
        <v>732</v>
      </c>
      <c r="C660" s="23" t="s">
        <v>17</v>
      </c>
      <c r="D660" s="23" t="s">
        <v>1899</v>
      </c>
      <c r="E660" s="25">
        <v>6066576057</v>
      </c>
      <c r="F660" s="188">
        <v>30039</v>
      </c>
      <c r="G660" s="23" t="s">
        <v>6</v>
      </c>
      <c r="H660" s="180">
        <v>39.008313224235721</v>
      </c>
      <c r="I660" s="188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</row>
    <row r="661" spans="1:33" x14ac:dyDescent="0.3">
      <c r="A661" s="176" t="s">
        <v>1205</v>
      </c>
      <c r="B661" s="176" t="s">
        <v>1206</v>
      </c>
      <c r="C661" s="23" t="s">
        <v>28</v>
      </c>
      <c r="D661" s="23" t="s">
        <v>1900</v>
      </c>
      <c r="E661" s="25">
        <v>4181230519</v>
      </c>
      <c r="F661" s="188">
        <v>29379</v>
      </c>
      <c r="G661" s="23" t="s">
        <v>10</v>
      </c>
      <c r="H661" s="180">
        <v>36.776966361296829</v>
      </c>
      <c r="I661" s="188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</row>
    <row r="662" spans="1:33" x14ac:dyDescent="0.3">
      <c r="A662" s="176" t="s">
        <v>1207</v>
      </c>
      <c r="B662" s="176" t="s">
        <v>1098</v>
      </c>
      <c r="C662" s="23" t="s">
        <v>17</v>
      </c>
      <c r="D662" s="23" t="s">
        <v>1733</v>
      </c>
      <c r="E662" s="25">
        <v>2122636321</v>
      </c>
      <c r="F662" s="188">
        <v>35625</v>
      </c>
      <c r="G662" s="23" t="s">
        <v>10</v>
      </c>
      <c r="H662" s="180">
        <v>31.748966584719138</v>
      </c>
      <c r="I662" s="188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</row>
    <row r="663" spans="1:33" x14ac:dyDescent="0.3">
      <c r="A663" s="176" t="s">
        <v>1208</v>
      </c>
      <c r="B663" s="176" t="s">
        <v>314</v>
      </c>
      <c r="C663" s="23" t="s">
        <v>9</v>
      </c>
      <c r="D663" s="23" t="s">
        <v>1901</v>
      </c>
      <c r="E663" s="25">
        <v>5068627048</v>
      </c>
      <c r="F663" s="188">
        <v>29487</v>
      </c>
      <c r="G663" s="23" t="s">
        <v>10</v>
      </c>
      <c r="H663" s="180">
        <v>31.190465192819147</v>
      </c>
      <c r="I663" s="188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</row>
    <row r="664" spans="1:33" x14ac:dyDescent="0.3">
      <c r="A664" s="176" t="s">
        <v>1209</v>
      </c>
      <c r="B664" s="176" t="s">
        <v>1210</v>
      </c>
      <c r="C664" s="23" t="s">
        <v>25</v>
      </c>
      <c r="D664" s="23" t="s">
        <v>1902</v>
      </c>
      <c r="E664" s="25">
        <v>6085725646</v>
      </c>
      <c r="F664" s="188">
        <v>28537</v>
      </c>
      <c r="G664" s="23" t="s">
        <v>18</v>
      </c>
      <c r="H664" s="180">
        <v>34.095116347794672</v>
      </c>
      <c r="I664" s="188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</row>
    <row r="665" spans="1:33" x14ac:dyDescent="0.3">
      <c r="A665" s="176" t="s">
        <v>1211</v>
      </c>
      <c r="B665" s="176" t="s">
        <v>1009</v>
      </c>
      <c r="C665" s="23" t="s">
        <v>42</v>
      </c>
      <c r="D665" s="23" t="s">
        <v>1390</v>
      </c>
      <c r="E665" s="25">
        <v>9034936058</v>
      </c>
      <c r="F665" s="188">
        <v>30367</v>
      </c>
      <c r="G665" s="23" t="s">
        <v>10</v>
      </c>
      <c r="H665" s="180">
        <v>39.532991983135631</v>
      </c>
      <c r="I665" s="188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</row>
    <row r="666" spans="1:33" x14ac:dyDescent="0.3">
      <c r="A666" s="176" t="s">
        <v>1212</v>
      </c>
      <c r="B666" s="176" t="s">
        <v>285</v>
      </c>
      <c r="C666" s="23" t="s">
        <v>9</v>
      </c>
      <c r="D666" s="23" t="s">
        <v>1903</v>
      </c>
      <c r="E666" s="25">
        <v>3037780776</v>
      </c>
      <c r="F666" s="188">
        <v>31933</v>
      </c>
      <c r="G666" s="23" t="s">
        <v>6</v>
      </c>
      <c r="H666" s="180">
        <v>30.027412320106837</v>
      </c>
      <c r="I666" s="188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</row>
    <row r="667" spans="1:33" x14ac:dyDescent="0.3">
      <c r="A667" s="176" t="s">
        <v>1213</v>
      </c>
      <c r="B667" s="176" t="s">
        <v>288</v>
      </c>
      <c r="C667" s="23" t="s">
        <v>17</v>
      </c>
      <c r="D667" s="23" t="s">
        <v>1904</v>
      </c>
      <c r="E667" s="25">
        <v>8088082183</v>
      </c>
      <c r="F667" s="188">
        <v>32417</v>
      </c>
      <c r="G667" s="23" t="s">
        <v>33</v>
      </c>
      <c r="H667" s="180">
        <v>32.901699023352279</v>
      </c>
      <c r="I667" s="188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</row>
    <row r="668" spans="1:33" x14ac:dyDescent="0.3">
      <c r="A668" s="176" t="s">
        <v>1214</v>
      </c>
      <c r="B668" s="176" t="s">
        <v>1215</v>
      </c>
      <c r="C668" s="23" t="s">
        <v>17</v>
      </c>
      <c r="D668" s="23" t="s">
        <v>1905</v>
      </c>
      <c r="E668" s="25">
        <v>9098367725</v>
      </c>
      <c r="F668" s="188">
        <v>32648</v>
      </c>
      <c r="G668" s="23" t="s">
        <v>10</v>
      </c>
      <c r="H668" s="180">
        <v>30.275014194158786</v>
      </c>
      <c r="I668" s="18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</row>
    <row r="669" spans="1:33" x14ac:dyDescent="0.3">
      <c r="A669" s="176" t="s">
        <v>1216</v>
      </c>
      <c r="B669" s="176" t="s">
        <v>322</v>
      </c>
      <c r="C669" s="23" t="s">
        <v>9</v>
      </c>
      <c r="D669" s="23" t="s">
        <v>1876</v>
      </c>
      <c r="E669" s="25">
        <v>7194888110</v>
      </c>
      <c r="F669" s="188">
        <v>32663</v>
      </c>
      <c r="G669" s="23" t="s">
        <v>10</v>
      </c>
      <c r="H669" s="180">
        <v>30.839006195659938</v>
      </c>
      <c r="I669" s="188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</row>
    <row r="670" spans="1:33" x14ac:dyDescent="0.3">
      <c r="A670" s="176" t="s">
        <v>1217</v>
      </c>
      <c r="B670" s="176" t="s">
        <v>1218</v>
      </c>
      <c r="C670" s="23" t="s">
        <v>17</v>
      </c>
      <c r="D670" s="23" t="s">
        <v>1906</v>
      </c>
      <c r="E670" s="25">
        <v>4164633649</v>
      </c>
      <c r="F670" s="188">
        <v>32789</v>
      </c>
      <c r="G670" s="23" t="s">
        <v>10</v>
      </c>
      <c r="H670" s="180">
        <v>30.799770328218958</v>
      </c>
      <c r="I670" s="188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</row>
    <row r="671" spans="1:33" x14ac:dyDescent="0.3">
      <c r="A671" s="176" t="s">
        <v>1219</v>
      </c>
      <c r="B671" s="176" t="s">
        <v>413</v>
      </c>
      <c r="C671" s="23" t="s">
        <v>28</v>
      </c>
      <c r="D671" s="23" t="s">
        <v>1907</v>
      </c>
      <c r="E671" s="25">
        <v>3124137278</v>
      </c>
      <c r="F671" s="188">
        <v>30152</v>
      </c>
      <c r="G671" s="23" t="s">
        <v>10</v>
      </c>
      <c r="H671" s="180">
        <v>30.283222733909771</v>
      </c>
      <c r="I671" s="188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</row>
    <row r="672" spans="1:33" x14ac:dyDescent="0.3">
      <c r="A672" s="176" t="s">
        <v>1220</v>
      </c>
      <c r="B672" s="176" t="s">
        <v>1221</v>
      </c>
      <c r="C672" s="23" t="s">
        <v>24</v>
      </c>
      <c r="D672" s="23" t="s">
        <v>1908</v>
      </c>
      <c r="E672" s="25">
        <v>2165250630</v>
      </c>
      <c r="F672" s="188">
        <v>33961</v>
      </c>
      <c r="G672" s="23" t="s">
        <v>10</v>
      </c>
      <c r="H672" s="180">
        <v>37.274330260948126</v>
      </c>
      <c r="I672" s="188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</row>
    <row r="673" spans="1:33" x14ac:dyDescent="0.3">
      <c r="A673" s="176" t="s">
        <v>1222</v>
      </c>
      <c r="B673" s="176" t="s">
        <v>411</v>
      </c>
      <c r="C673" s="23" t="s">
        <v>28</v>
      </c>
      <c r="D673" s="23" t="s">
        <v>1909</v>
      </c>
      <c r="E673" s="25">
        <v>5165786813</v>
      </c>
      <c r="F673" s="188">
        <v>28848</v>
      </c>
      <c r="G673" s="23" t="s">
        <v>6</v>
      </c>
      <c r="H673" s="180">
        <v>36.82027289618852</v>
      </c>
      <c r="I673" s="188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</row>
    <row r="674" spans="1:33" x14ac:dyDescent="0.3">
      <c r="A674" s="176" t="s">
        <v>1223</v>
      </c>
      <c r="B674" s="176" t="s">
        <v>690</v>
      </c>
      <c r="C674" s="23" t="s">
        <v>9</v>
      </c>
      <c r="D674" s="23" t="s">
        <v>1910</v>
      </c>
      <c r="E674" s="25">
        <v>4178873234</v>
      </c>
      <c r="F674" s="188">
        <v>30631</v>
      </c>
      <c r="G674" s="23" t="s">
        <v>18</v>
      </c>
      <c r="H674" s="180">
        <v>30.620300444984462</v>
      </c>
      <c r="I674" s="188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</row>
    <row r="675" spans="1:33" x14ac:dyDescent="0.3">
      <c r="A675" s="176" t="s">
        <v>1224</v>
      </c>
      <c r="B675" s="176" t="s">
        <v>1225</v>
      </c>
      <c r="C675" s="23" t="s">
        <v>17</v>
      </c>
      <c r="D675" s="23" t="s">
        <v>1911</v>
      </c>
      <c r="E675" s="25">
        <v>9091408985</v>
      </c>
      <c r="F675" s="188">
        <v>28311</v>
      </c>
      <c r="G675" s="23" t="s">
        <v>10</v>
      </c>
      <c r="H675" s="180">
        <v>38.975000370197883</v>
      </c>
      <c r="I675" s="188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</row>
    <row r="676" spans="1:33" x14ac:dyDescent="0.3">
      <c r="A676" s="176" t="s">
        <v>1226</v>
      </c>
      <c r="B676" s="176" t="s">
        <v>1227</v>
      </c>
      <c r="C676" s="23" t="s">
        <v>25</v>
      </c>
      <c r="D676" s="23" t="s">
        <v>1912</v>
      </c>
      <c r="E676" s="25">
        <v>4074194193</v>
      </c>
      <c r="F676" s="188">
        <v>29702</v>
      </c>
      <c r="G676" s="23" t="s">
        <v>18</v>
      </c>
      <c r="H676" s="180">
        <v>37.255233706937737</v>
      </c>
      <c r="I676" s="188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</row>
    <row r="677" spans="1:33" x14ac:dyDescent="0.3">
      <c r="A677" s="176" t="s">
        <v>1228</v>
      </c>
      <c r="B677" s="176" t="s">
        <v>395</v>
      </c>
      <c r="C677" s="23" t="s">
        <v>5</v>
      </c>
      <c r="D677" s="23" t="s">
        <v>1913</v>
      </c>
      <c r="E677" s="25">
        <v>4171765611</v>
      </c>
      <c r="F677" s="188">
        <v>32694</v>
      </c>
      <c r="G677" s="23" t="s">
        <v>10</v>
      </c>
      <c r="H677" s="180">
        <v>31.388678149419622</v>
      </c>
      <c r="I677" s="188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</row>
    <row r="678" spans="1:33" x14ac:dyDescent="0.3">
      <c r="A678" s="176" t="s">
        <v>1229</v>
      </c>
      <c r="B678" s="176" t="s">
        <v>1230</v>
      </c>
      <c r="C678" s="23" t="s">
        <v>31</v>
      </c>
      <c r="D678" s="23" t="s">
        <v>1914</v>
      </c>
      <c r="E678" s="25">
        <v>8138721709</v>
      </c>
      <c r="F678" s="188">
        <v>27859</v>
      </c>
      <c r="G678" s="23" t="s">
        <v>10</v>
      </c>
      <c r="H678" s="180">
        <v>32.539182568646808</v>
      </c>
      <c r="I678" s="18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</row>
    <row r="679" spans="1:33" x14ac:dyDescent="0.3">
      <c r="A679" s="176" t="s">
        <v>1231</v>
      </c>
      <c r="B679" s="176" t="s">
        <v>1232</v>
      </c>
      <c r="C679" s="23" t="s">
        <v>35</v>
      </c>
      <c r="D679" s="23" t="s">
        <v>1915</v>
      </c>
      <c r="E679" s="25">
        <v>4148256039</v>
      </c>
      <c r="F679" s="188">
        <v>27858</v>
      </c>
      <c r="G679" s="23" t="s">
        <v>10</v>
      </c>
      <c r="H679" s="180">
        <v>37.041816197176594</v>
      </c>
      <c r="I679" s="188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</row>
    <row r="680" spans="1:33" x14ac:dyDescent="0.3">
      <c r="A680" s="176" t="s">
        <v>1233</v>
      </c>
      <c r="B680" s="176" t="s">
        <v>1234</v>
      </c>
      <c r="C680" s="23" t="s">
        <v>9</v>
      </c>
      <c r="D680" s="23" t="s">
        <v>1916</v>
      </c>
      <c r="E680" s="25">
        <v>7097925201</v>
      </c>
      <c r="F680" s="188">
        <v>35747</v>
      </c>
      <c r="G680" s="23" t="s">
        <v>10</v>
      </c>
      <c r="H680" s="180">
        <v>36.978936166344539</v>
      </c>
      <c r="I680" s="188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</row>
    <row r="681" spans="1:33" x14ac:dyDescent="0.3">
      <c r="A681" s="176" t="s">
        <v>1235</v>
      </c>
      <c r="B681" s="176" t="s">
        <v>423</v>
      </c>
      <c r="C681" s="23" t="s">
        <v>23</v>
      </c>
      <c r="D681" s="23" t="s">
        <v>1917</v>
      </c>
      <c r="E681" s="25">
        <v>4132529195</v>
      </c>
      <c r="F681" s="188">
        <v>29671</v>
      </c>
      <c r="G681" s="23" t="s">
        <v>10</v>
      </c>
      <c r="H681" s="180">
        <v>38.295650642880531</v>
      </c>
      <c r="I681" s="188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</row>
    <row r="682" spans="1:33" x14ac:dyDescent="0.3">
      <c r="A682" s="176" t="s">
        <v>1236</v>
      </c>
      <c r="B682" s="176" t="s">
        <v>684</v>
      </c>
      <c r="C682" s="23" t="s">
        <v>17</v>
      </c>
      <c r="D682" s="23" t="s">
        <v>1918</v>
      </c>
      <c r="E682" s="25">
        <v>2176973131</v>
      </c>
      <c r="F682" s="188">
        <v>35708</v>
      </c>
      <c r="G682" s="23" t="s">
        <v>10</v>
      </c>
      <c r="H682" s="180">
        <v>33.238614557030758</v>
      </c>
      <c r="I682" s="188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</row>
    <row r="683" spans="1:33" x14ac:dyDescent="0.3">
      <c r="A683" s="176" t="s">
        <v>1237</v>
      </c>
      <c r="B683" s="176" t="s">
        <v>1238</v>
      </c>
      <c r="C683" s="23" t="s">
        <v>17</v>
      </c>
      <c r="D683" s="23" t="s">
        <v>1919</v>
      </c>
      <c r="E683" s="25">
        <v>4112889182</v>
      </c>
      <c r="F683" s="188">
        <v>28497</v>
      </c>
      <c r="G683" s="23" t="s">
        <v>10</v>
      </c>
      <c r="H683" s="180">
        <v>32.46931733558462</v>
      </c>
      <c r="I683" s="188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</row>
    <row r="684" spans="1:33" x14ac:dyDescent="0.3">
      <c r="A684" s="176" t="s">
        <v>1239</v>
      </c>
      <c r="B684" s="176" t="s">
        <v>411</v>
      </c>
      <c r="C684" s="23" t="s">
        <v>25</v>
      </c>
      <c r="D684" s="23" t="s">
        <v>1920</v>
      </c>
      <c r="E684" s="25">
        <v>7091973267</v>
      </c>
      <c r="F684" s="188">
        <v>29369</v>
      </c>
      <c r="G684" s="23" t="s">
        <v>10</v>
      </c>
      <c r="H684" s="180">
        <v>38.454076353647878</v>
      </c>
      <c r="I684" s="188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</row>
    <row r="685" spans="1:33" x14ac:dyDescent="0.3">
      <c r="A685" s="176" t="s">
        <v>1240</v>
      </c>
      <c r="B685" s="176" t="s">
        <v>969</v>
      </c>
      <c r="C685" s="23" t="s">
        <v>9</v>
      </c>
      <c r="D685" s="23" t="s">
        <v>1921</v>
      </c>
      <c r="E685" s="25">
        <v>7052163497</v>
      </c>
      <c r="F685" s="188">
        <v>29787</v>
      </c>
      <c r="G685" s="23" t="s">
        <v>18</v>
      </c>
      <c r="H685" s="180">
        <v>30.929709556849986</v>
      </c>
      <c r="I685" s="188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</row>
    <row r="686" spans="1:33" x14ac:dyDescent="0.3">
      <c r="A686" s="176" t="s">
        <v>1241</v>
      </c>
      <c r="B686" s="176" t="s">
        <v>1242</v>
      </c>
      <c r="C686" s="23" t="s">
        <v>31</v>
      </c>
      <c r="D686" s="23" t="s">
        <v>1922</v>
      </c>
      <c r="E686" s="25">
        <v>2026427045</v>
      </c>
      <c r="F686" s="188">
        <v>35194</v>
      </c>
      <c r="G686" s="23" t="s">
        <v>10</v>
      </c>
      <c r="H686" s="180">
        <v>36.313596916151113</v>
      </c>
      <c r="I686" s="188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</row>
    <row r="687" spans="1:33" x14ac:dyDescent="0.3">
      <c r="A687" s="176" t="s">
        <v>1243</v>
      </c>
      <c r="B687" s="176" t="s">
        <v>1244</v>
      </c>
      <c r="C687" s="23" t="s">
        <v>9</v>
      </c>
      <c r="D687" s="23" t="s">
        <v>1923</v>
      </c>
      <c r="E687" s="25">
        <v>9091593705</v>
      </c>
      <c r="F687" s="188">
        <v>28025</v>
      </c>
      <c r="G687" s="23" t="s">
        <v>10</v>
      </c>
      <c r="H687" s="180">
        <v>31.430330082655871</v>
      </c>
      <c r="I687" s="188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</row>
    <row r="688" spans="1:33" x14ac:dyDescent="0.3">
      <c r="A688" s="176" t="s">
        <v>1245</v>
      </c>
      <c r="B688" s="176" t="s">
        <v>836</v>
      </c>
      <c r="C688" s="23" t="s">
        <v>40</v>
      </c>
      <c r="D688" s="23" t="s">
        <v>1924</v>
      </c>
      <c r="E688" s="25">
        <v>2024713628</v>
      </c>
      <c r="F688" s="188">
        <v>27920</v>
      </c>
      <c r="G688" s="23" t="s">
        <v>33</v>
      </c>
      <c r="H688" s="180">
        <v>34.920661919560168</v>
      </c>
      <c r="I688" s="1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</row>
    <row r="689" spans="1:33" x14ac:dyDescent="0.3">
      <c r="A689" s="176" t="s">
        <v>1246</v>
      </c>
      <c r="B689" s="176" t="s">
        <v>353</v>
      </c>
      <c r="C689" s="23" t="s">
        <v>5</v>
      </c>
      <c r="D689" s="23" t="s">
        <v>1925</v>
      </c>
      <c r="E689" s="25">
        <v>9156920236</v>
      </c>
      <c r="F689" s="188">
        <v>28613</v>
      </c>
      <c r="G689" s="23" t="s">
        <v>10</v>
      </c>
      <c r="H689" s="180">
        <v>38.156204106352625</v>
      </c>
      <c r="I689" s="188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</row>
    <row r="690" spans="1:33" x14ac:dyDescent="0.3">
      <c r="A690" s="176" t="s">
        <v>1247</v>
      </c>
      <c r="B690" s="176" t="s">
        <v>1009</v>
      </c>
      <c r="C690" s="23" t="s">
        <v>25</v>
      </c>
      <c r="D690" s="23" t="s">
        <v>1926</v>
      </c>
      <c r="E690" s="25">
        <v>3011797370</v>
      </c>
      <c r="F690" s="188">
        <v>28933</v>
      </c>
      <c r="G690" s="23" t="s">
        <v>10</v>
      </c>
      <c r="H690" s="180">
        <v>34.183379503746025</v>
      </c>
      <c r="I690" s="188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</row>
    <row r="691" spans="1:33" x14ac:dyDescent="0.3">
      <c r="A691" s="176" t="s">
        <v>1248</v>
      </c>
      <c r="B691" s="176" t="s">
        <v>783</v>
      </c>
      <c r="C691" s="23" t="s">
        <v>17</v>
      </c>
      <c r="D691" s="23" t="s">
        <v>1927</v>
      </c>
      <c r="E691" s="25">
        <v>6121264013</v>
      </c>
      <c r="F691" s="188">
        <v>29787</v>
      </c>
      <c r="G691" s="23" t="s">
        <v>18</v>
      </c>
      <c r="H691" s="180">
        <v>39.535301772077055</v>
      </c>
      <c r="I691" s="188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</row>
    <row r="692" spans="1:33" x14ac:dyDescent="0.3">
      <c r="A692" s="176" t="s">
        <v>1249</v>
      </c>
      <c r="B692" s="176" t="s">
        <v>1250</v>
      </c>
      <c r="C692" s="23" t="s">
        <v>30</v>
      </c>
      <c r="D692" s="23" t="s">
        <v>1928</v>
      </c>
      <c r="E692" s="25">
        <v>3124727385</v>
      </c>
      <c r="F692" s="188">
        <v>30496</v>
      </c>
      <c r="G692" s="23" t="s">
        <v>18</v>
      </c>
      <c r="H692" s="180">
        <v>30.783541269314703</v>
      </c>
      <c r="I692" s="188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</row>
    <row r="693" spans="1:33" x14ac:dyDescent="0.3">
      <c r="A693" s="176" t="s">
        <v>1251</v>
      </c>
      <c r="B693" s="176" t="s">
        <v>279</v>
      </c>
      <c r="C693" s="23" t="s">
        <v>39</v>
      </c>
      <c r="D693" s="23" t="s">
        <v>1929</v>
      </c>
      <c r="E693" s="25">
        <v>5122552565</v>
      </c>
      <c r="F693" s="188">
        <v>34693</v>
      </c>
      <c r="G693" s="23" t="s">
        <v>10</v>
      </c>
      <c r="H693" s="180">
        <v>37.395418799865183</v>
      </c>
      <c r="I693" s="188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</row>
    <row r="694" spans="1:33" x14ac:dyDescent="0.3">
      <c r="A694" s="176" t="s">
        <v>1252</v>
      </c>
      <c r="B694" s="176" t="s">
        <v>1253</v>
      </c>
      <c r="C694" s="23" t="s">
        <v>27</v>
      </c>
      <c r="D694" s="23" t="s">
        <v>1930</v>
      </c>
      <c r="E694" s="25">
        <v>7014471952</v>
      </c>
      <c r="F694" s="188">
        <v>29899</v>
      </c>
      <c r="G694" s="23" t="s">
        <v>10</v>
      </c>
      <c r="H694" s="180">
        <v>36.535109511567427</v>
      </c>
      <c r="I694" s="188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</row>
    <row r="695" spans="1:33" x14ac:dyDescent="0.3">
      <c r="A695" s="176" t="s">
        <v>232</v>
      </c>
      <c r="B695" s="176" t="s">
        <v>233</v>
      </c>
      <c r="C695" s="23" t="s">
        <v>9</v>
      </c>
      <c r="D695" s="23" t="s">
        <v>1931</v>
      </c>
      <c r="E695" s="25">
        <v>4024532398</v>
      </c>
      <c r="F695" s="188">
        <v>33339</v>
      </c>
      <c r="G695" s="23" t="s">
        <v>6</v>
      </c>
      <c r="H695" s="180">
        <v>38.956431296377808</v>
      </c>
      <c r="I695" s="188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</row>
    <row r="696" spans="1:33" x14ac:dyDescent="0.3">
      <c r="A696" s="176" t="s">
        <v>1254</v>
      </c>
      <c r="B696" s="176" t="s">
        <v>1255</v>
      </c>
      <c r="C696" s="23" t="s">
        <v>17</v>
      </c>
      <c r="D696" s="23" t="s">
        <v>1932</v>
      </c>
      <c r="E696" s="25">
        <v>5161544288</v>
      </c>
      <c r="F696" s="188">
        <v>34836</v>
      </c>
      <c r="G696" s="23" t="s">
        <v>10</v>
      </c>
      <c r="H696" s="180">
        <v>36.496439366806989</v>
      </c>
      <c r="I696" s="188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</row>
    <row r="697" spans="1:33" x14ac:dyDescent="0.3">
      <c r="A697" s="176" t="s">
        <v>1256</v>
      </c>
      <c r="B697" s="176" t="s">
        <v>1257</v>
      </c>
      <c r="C697" s="23" t="s">
        <v>28</v>
      </c>
      <c r="D697" s="23" t="s">
        <v>1933</v>
      </c>
      <c r="E697" s="25">
        <v>7051201242</v>
      </c>
      <c r="F697" s="188">
        <v>30039</v>
      </c>
      <c r="G697" s="23" t="s">
        <v>10</v>
      </c>
      <c r="H697" s="180">
        <v>35.613265375931341</v>
      </c>
      <c r="I697" s="188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</row>
    <row r="698" spans="1:33" x14ac:dyDescent="0.3">
      <c r="A698" s="176" t="s">
        <v>1258</v>
      </c>
      <c r="B698" s="176" t="s">
        <v>838</v>
      </c>
      <c r="C698" s="23" t="s">
        <v>23</v>
      </c>
      <c r="D698" s="23" t="s">
        <v>1934</v>
      </c>
      <c r="E698" s="25">
        <v>4131162663</v>
      </c>
      <c r="F698" s="188">
        <v>29379</v>
      </c>
      <c r="G698" s="23" t="s">
        <v>10</v>
      </c>
      <c r="H698" s="180">
        <v>34.968184791578508</v>
      </c>
      <c r="I698" s="18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</row>
    <row r="699" spans="1:33" x14ac:dyDescent="0.3">
      <c r="A699" s="176" t="s">
        <v>1259</v>
      </c>
      <c r="B699" s="176" t="s">
        <v>1194</v>
      </c>
      <c r="C699" s="23" t="s">
        <v>9</v>
      </c>
      <c r="D699" s="23" t="s">
        <v>1935</v>
      </c>
      <c r="E699" s="25">
        <v>7151559081</v>
      </c>
      <c r="F699" s="188">
        <v>35625</v>
      </c>
      <c r="G699" s="23" t="s">
        <v>10</v>
      </c>
      <c r="H699" s="180">
        <v>36.372889592382343</v>
      </c>
      <c r="I699" s="188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</row>
    <row r="700" spans="1:33" x14ac:dyDescent="0.3">
      <c r="A700" s="176" t="s">
        <v>1260</v>
      </c>
      <c r="B700" s="176" t="s">
        <v>1261</v>
      </c>
      <c r="C700" s="23" t="s">
        <v>28</v>
      </c>
      <c r="D700" s="23" t="s">
        <v>1936</v>
      </c>
      <c r="E700" s="25">
        <v>4188155179</v>
      </c>
      <c r="F700" s="188">
        <v>29487</v>
      </c>
      <c r="G700" s="23" t="s">
        <v>6</v>
      </c>
      <c r="H700" s="180">
        <v>35.831614303173765</v>
      </c>
      <c r="I700" s="188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</row>
    <row r="701" spans="1:33" x14ac:dyDescent="0.3">
      <c r="A701" s="176" t="s">
        <v>254</v>
      </c>
      <c r="B701" s="176" t="s">
        <v>255</v>
      </c>
      <c r="C701" s="23" t="s">
        <v>29</v>
      </c>
      <c r="D701" s="23" t="s">
        <v>1937</v>
      </c>
      <c r="E701" s="25">
        <v>2018359862</v>
      </c>
      <c r="F701" s="188">
        <v>28537</v>
      </c>
      <c r="G701" s="23" t="s">
        <v>10</v>
      </c>
      <c r="H701" s="180">
        <v>33.373350899356062</v>
      </c>
      <c r="I701" s="188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</row>
    <row r="702" spans="1:33" x14ac:dyDescent="0.3"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</row>
    <row r="703" spans="1:33" x14ac:dyDescent="0.3"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</row>
    <row r="704" spans="1:33" x14ac:dyDescent="0.3"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</row>
    <row r="705" spans="11:33" x14ac:dyDescent="0.3"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</row>
    <row r="706" spans="11:33" x14ac:dyDescent="0.3"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</row>
    <row r="707" spans="11:33" x14ac:dyDescent="0.3"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</row>
    <row r="708" spans="11:33" x14ac:dyDescent="0.3"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</row>
    <row r="709" spans="11:33" x14ac:dyDescent="0.3"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</row>
    <row r="710" spans="11:33" x14ac:dyDescent="0.3"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</row>
    <row r="711" spans="11:33" x14ac:dyDescent="0.3"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</row>
    <row r="712" spans="11:33" x14ac:dyDescent="0.3"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</row>
    <row r="713" spans="11:33" x14ac:dyDescent="0.3"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0.499984740745262"/>
  </sheetPr>
  <dimension ref="A1:L32"/>
  <sheetViews>
    <sheetView workbookViewId="0">
      <selection activeCell="A3" sqref="A3"/>
    </sheetView>
  </sheetViews>
  <sheetFormatPr defaultColWidth="9.109375" defaultRowHeight="14.4" x14ac:dyDescent="0.3"/>
  <cols>
    <col min="1" max="1" width="17.44140625" style="119" customWidth="1"/>
    <col min="2" max="2" width="13.88671875" style="119" bestFit="1" customWidth="1"/>
    <col min="3" max="3" width="11.6640625" style="119" customWidth="1"/>
    <col min="4" max="4" width="13.6640625" style="119" bestFit="1" customWidth="1"/>
    <col min="5" max="5" width="11.6640625" style="119" bestFit="1" customWidth="1"/>
    <col min="6" max="6" width="12.5546875" style="150" customWidth="1"/>
    <col min="7" max="7" width="11.109375" style="150" customWidth="1"/>
    <col min="8" max="8" width="12.6640625" style="150" customWidth="1"/>
    <col min="9" max="9" width="19.88671875" style="150" customWidth="1"/>
    <col min="10" max="10" width="12.88671875" style="150" customWidth="1"/>
    <col min="11" max="11" width="10.109375" style="119" bestFit="1" customWidth="1"/>
    <col min="12" max="16384" width="9.109375" style="119"/>
  </cols>
  <sheetData>
    <row r="1" spans="1:12" ht="15" thickBot="1" x14ac:dyDescent="0.35"/>
    <row r="2" spans="1:12" ht="31.2" x14ac:dyDescent="0.6">
      <c r="A2" s="142" t="s">
        <v>1263</v>
      </c>
      <c r="F2" s="158" t="s">
        <v>195</v>
      </c>
      <c r="G2" s="151"/>
      <c r="H2" s="151"/>
      <c r="I2" s="152"/>
      <c r="K2" s="146" t="s">
        <v>4</v>
      </c>
      <c r="L2" s="147">
        <v>0.125</v>
      </c>
    </row>
    <row r="3" spans="1:12" ht="18.600000000000001" thickBot="1" x14ac:dyDescent="0.4">
      <c r="A3" s="120" t="s">
        <v>194</v>
      </c>
      <c r="F3" s="159" t="s">
        <v>196</v>
      </c>
      <c r="G3" s="153"/>
      <c r="H3" s="153"/>
      <c r="I3" s="154"/>
      <c r="K3" s="148" t="s">
        <v>201</v>
      </c>
      <c r="L3" s="149">
        <v>25</v>
      </c>
    </row>
    <row r="4" spans="1:12" ht="18" x14ac:dyDescent="0.35">
      <c r="A4" s="120"/>
      <c r="F4" s="159" t="s">
        <v>197</v>
      </c>
      <c r="G4" s="153"/>
      <c r="H4" s="153"/>
      <c r="I4" s="154"/>
    </row>
    <row r="5" spans="1:12" ht="18" x14ac:dyDescent="0.35">
      <c r="A5" s="120"/>
      <c r="F5" s="159" t="s">
        <v>200</v>
      </c>
      <c r="G5" s="153"/>
      <c r="H5" s="153"/>
      <c r="I5" s="154"/>
    </row>
    <row r="6" spans="1:12" ht="18.600000000000001" thickBot="1" x14ac:dyDescent="0.4">
      <c r="A6" s="120"/>
      <c r="F6" s="160" t="s">
        <v>198</v>
      </c>
      <c r="G6" s="155"/>
      <c r="H6" s="155"/>
      <c r="I6" s="156"/>
    </row>
    <row r="9" spans="1:12" ht="18" x14ac:dyDescent="0.35">
      <c r="A9" s="121" t="s">
        <v>155</v>
      </c>
      <c r="B9" s="121" t="s">
        <v>156</v>
      </c>
      <c r="C9" s="121" t="s">
        <v>157</v>
      </c>
      <c r="D9" s="121" t="s">
        <v>158</v>
      </c>
      <c r="E9" s="121" t="s">
        <v>159</v>
      </c>
      <c r="F9" s="157" t="s">
        <v>160</v>
      </c>
      <c r="G9" s="157" t="s">
        <v>161</v>
      </c>
      <c r="H9" s="157" t="s">
        <v>162</v>
      </c>
      <c r="I9" s="157" t="s">
        <v>163</v>
      </c>
      <c r="J9" s="157" t="s">
        <v>164</v>
      </c>
    </row>
    <row r="10" spans="1:12" x14ac:dyDescent="0.3">
      <c r="A10" s="119" t="s">
        <v>165</v>
      </c>
      <c r="B10" s="119" t="s">
        <v>166</v>
      </c>
      <c r="C10" s="161">
        <v>14</v>
      </c>
      <c r="D10" s="145">
        <v>40</v>
      </c>
      <c r="E10" s="145">
        <v>5</v>
      </c>
      <c r="F10" s="150">
        <f t="shared" ref="F10:F24" si="0">C10*D10</f>
        <v>560</v>
      </c>
      <c r="G10" s="150">
        <f>E10*$L$3</f>
        <v>125</v>
      </c>
      <c r="H10" s="150">
        <f>F10+G10</f>
        <v>685</v>
      </c>
      <c r="I10" s="150">
        <f>H10*$L$2</f>
        <v>85.625</v>
      </c>
      <c r="J10" s="150">
        <f t="shared" ref="J10:J24" si="1">H10-I10</f>
        <v>599.375</v>
      </c>
    </row>
    <row r="11" spans="1:12" x14ac:dyDescent="0.3">
      <c r="A11" s="119" t="s">
        <v>167</v>
      </c>
      <c r="B11" s="119" t="s">
        <v>168</v>
      </c>
      <c r="C11" s="161">
        <v>12</v>
      </c>
      <c r="D11" s="145">
        <v>40</v>
      </c>
      <c r="E11" s="145">
        <v>3.25</v>
      </c>
      <c r="F11" s="150">
        <f t="shared" si="0"/>
        <v>480</v>
      </c>
      <c r="G11" s="150">
        <f t="shared" ref="G11:G24" si="2">E11*$L$3</f>
        <v>81.25</v>
      </c>
      <c r="H11" s="150">
        <f t="shared" ref="H11:H24" si="3">F11+G11</f>
        <v>561.25</v>
      </c>
      <c r="I11" s="150">
        <f t="shared" ref="I11:I24" si="4">H11*$L$2</f>
        <v>70.15625</v>
      </c>
      <c r="J11" s="150">
        <f t="shared" si="1"/>
        <v>491.09375</v>
      </c>
    </row>
    <row r="12" spans="1:12" x14ac:dyDescent="0.3">
      <c r="A12" s="119" t="s">
        <v>169</v>
      </c>
      <c r="B12" s="119" t="s">
        <v>170</v>
      </c>
      <c r="C12" s="161">
        <v>14</v>
      </c>
      <c r="D12" s="145">
        <v>40</v>
      </c>
      <c r="E12" s="145">
        <v>0</v>
      </c>
      <c r="F12" s="150">
        <f t="shared" si="0"/>
        <v>560</v>
      </c>
      <c r="G12" s="150">
        <f t="shared" si="2"/>
        <v>0</v>
      </c>
      <c r="H12" s="150">
        <f t="shared" si="3"/>
        <v>560</v>
      </c>
      <c r="I12" s="150">
        <f t="shared" si="4"/>
        <v>70</v>
      </c>
      <c r="J12" s="150">
        <f t="shared" si="1"/>
        <v>490</v>
      </c>
    </row>
    <row r="13" spans="1:12" x14ac:dyDescent="0.3">
      <c r="A13" s="119" t="s">
        <v>171</v>
      </c>
      <c r="B13" s="119" t="s">
        <v>172</v>
      </c>
      <c r="C13" s="161">
        <v>15</v>
      </c>
      <c r="D13" s="145">
        <v>32.5</v>
      </c>
      <c r="E13" s="145">
        <v>0</v>
      </c>
      <c r="F13" s="150">
        <f t="shared" si="0"/>
        <v>487.5</v>
      </c>
      <c r="G13" s="150">
        <f t="shared" si="2"/>
        <v>0</v>
      </c>
      <c r="H13" s="150">
        <f t="shared" si="3"/>
        <v>487.5</v>
      </c>
      <c r="I13" s="150">
        <f t="shared" si="4"/>
        <v>60.9375</v>
      </c>
      <c r="J13" s="150">
        <f t="shared" si="1"/>
        <v>426.5625</v>
      </c>
    </row>
    <row r="14" spans="1:12" x14ac:dyDescent="0.3">
      <c r="A14" s="119" t="s">
        <v>173</v>
      </c>
      <c r="B14" s="119" t="s">
        <v>174</v>
      </c>
      <c r="C14" s="161">
        <v>16</v>
      </c>
      <c r="D14" s="145">
        <v>40</v>
      </c>
      <c r="E14" s="145">
        <v>3.75</v>
      </c>
      <c r="F14" s="150">
        <f t="shared" si="0"/>
        <v>640</v>
      </c>
      <c r="G14" s="150">
        <f t="shared" si="2"/>
        <v>93.75</v>
      </c>
      <c r="H14" s="150">
        <f t="shared" si="3"/>
        <v>733.75</v>
      </c>
      <c r="I14" s="150">
        <f t="shared" si="4"/>
        <v>91.71875</v>
      </c>
      <c r="J14" s="150">
        <f t="shared" si="1"/>
        <v>642.03125</v>
      </c>
    </row>
    <row r="15" spans="1:12" x14ac:dyDescent="0.3">
      <c r="A15" s="119" t="s">
        <v>175</v>
      </c>
      <c r="B15" s="119" t="s">
        <v>176</v>
      </c>
      <c r="C15" s="161">
        <v>12.5</v>
      </c>
      <c r="D15" s="145">
        <v>40</v>
      </c>
      <c r="E15" s="145">
        <v>6</v>
      </c>
      <c r="F15" s="150">
        <f t="shared" si="0"/>
        <v>500</v>
      </c>
      <c r="G15" s="150">
        <f t="shared" si="2"/>
        <v>150</v>
      </c>
      <c r="H15" s="150">
        <f t="shared" si="3"/>
        <v>650</v>
      </c>
      <c r="I15" s="150">
        <f t="shared" si="4"/>
        <v>81.25</v>
      </c>
      <c r="J15" s="150">
        <f t="shared" si="1"/>
        <v>568.75</v>
      </c>
    </row>
    <row r="16" spans="1:12" x14ac:dyDescent="0.3">
      <c r="A16" s="119" t="s">
        <v>177</v>
      </c>
      <c r="B16" s="119" t="s">
        <v>178</v>
      </c>
      <c r="C16" s="161">
        <v>12.5</v>
      </c>
      <c r="D16" s="145">
        <v>38.5</v>
      </c>
      <c r="E16" s="145">
        <v>0</v>
      </c>
      <c r="F16" s="150">
        <f t="shared" si="0"/>
        <v>481.25</v>
      </c>
      <c r="G16" s="150">
        <f t="shared" si="2"/>
        <v>0</v>
      </c>
      <c r="H16" s="150">
        <f t="shared" si="3"/>
        <v>481.25</v>
      </c>
      <c r="I16" s="150">
        <f t="shared" si="4"/>
        <v>60.15625</v>
      </c>
      <c r="J16" s="150">
        <f t="shared" si="1"/>
        <v>421.09375</v>
      </c>
    </row>
    <row r="17" spans="1:10" x14ac:dyDescent="0.3">
      <c r="A17" s="119" t="s">
        <v>179</v>
      </c>
      <c r="B17" s="119" t="s">
        <v>180</v>
      </c>
      <c r="C17" s="161">
        <v>14</v>
      </c>
      <c r="D17" s="145">
        <v>40</v>
      </c>
      <c r="E17" s="145">
        <v>5</v>
      </c>
      <c r="F17" s="150">
        <f t="shared" si="0"/>
        <v>560</v>
      </c>
      <c r="G17" s="150">
        <f t="shared" si="2"/>
        <v>125</v>
      </c>
      <c r="H17" s="150">
        <f t="shared" si="3"/>
        <v>685</v>
      </c>
      <c r="I17" s="150">
        <f t="shared" si="4"/>
        <v>85.625</v>
      </c>
      <c r="J17" s="150">
        <f t="shared" si="1"/>
        <v>599.375</v>
      </c>
    </row>
    <row r="18" spans="1:10" x14ac:dyDescent="0.3">
      <c r="A18" s="119" t="s">
        <v>181</v>
      </c>
      <c r="B18" s="119" t="s">
        <v>170</v>
      </c>
      <c r="C18" s="161">
        <v>12</v>
      </c>
      <c r="D18" s="145">
        <v>40</v>
      </c>
      <c r="E18" s="145">
        <v>3.25</v>
      </c>
      <c r="F18" s="150">
        <f t="shared" si="0"/>
        <v>480</v>
      </c>
      <c r="G18" s="150">
        <f t="shared" si="2"/>
        <v>81.25</v>
      </c>
      <c r="H18" s="150">
        <f t="shared" si="3"/>
        <v>561.25</v>
      </c>
      <c r="I18" s="150">
        <f t="shared" si="4"/>
        <v>70.15625</v>
      </c>
      <c r="J18" s="150">
        <f t="shared" si="1"/>
        <v>491.09375</v>
      </c>
    </row>
    <row r="19" spans="1:10" x14ac:dyDescent="0.3">
      <c r="A19" s="119" t="s">
        <v>182</v>
      </c>
      <c r="B19" s="119" t="s">
        <v>183</v>
      </c>
      <c r="C19" s="161">
        <v>14</v>
      </c>
      <c r="D19" s="145">
        <v>40</v>
      </c>
      <c r="E19" s="145">
        <v>0</v>
      </c>
      <c r="F19" s="150">
        <f t="shared" si="0"/>
        <v>560</v>
      </c>
      <c r="G19" s="150">
        <f t="shared" si="2"/>
        <v>0</v>
      </c>
      <c r="H19" s="150">
        <f t="shared" si="3"/>
        <v>560</v>
      </c>
      <c r="I19" s="150">
        <f t="shared" si="4"/>
        <v>70</v>
      </c>
      <c r="J19" s="150">
        <f t="shared" si="1"/>
        <v>490</v>
      </c>
    </row>
    <row r="20" spans="1:10" x14ac:dyDescent="0.3">
      <c r="A20" s="119" t="s">
        <v>184</v>
      </c>
      <c r="B20" s="119" t="s">
        <v>185</v>
      </c>
      <c r="C20" s="161">
        <v>15</v>
      </c>
      <c r="D20" s="145">
        <v>32.5</v>
      </c>
      <c r="E20" s="145">
        <v>0</v>
      </c>
      <c r="F20" s="150">
        <f t="shared" si="0"/>
        <v>487.5</v>
      </c>
      <c r="G20" s="150">
        <f t="shared" si="2"/>
        <v>0</v>
      </c>
      <c r="H20" s="150">
        <f t="shared" si="3"/>
        <v>487.5</v>
      </c>
      <c r="I20" s="150">
        <f t="shared" si="4"/>
        <v>60.9375</v>
      </c>
      <c r="J20" s="150">
        <f t="shared" si="1"/>
        <v>426.5625</v>
      </c>
    </row>
    <row r="21" spans="1:10" x14ac:dyDescent="0.3">
      <c r="A21" s="119" t="s">
        <v>186</v>
      </c>
      <c r="B21" s="119" t="s">
        <v>187</v>
      </c>
      <c r="C21" s="161">
        <v>12.5</v>
      </c>
      <c r="D21" s="145">
        <v>40</v>
      </c>
      <c r="E21" s="145">
        <v>6</v>
      </c>
      <c r="F21" s="150">
        <f t="shared" si="0"/>
        <v>500</v>
      </c>
      <c r="G21" s="150">
        <f t="shared" si="2"/>
        <v>150</v>
      </c>
      <c r="H21" s="150">
        <f t="shared" si="3"/>
        <v>650</v>
      </c>
      <c r="I21" s="150">
        <f t="shared" si="4"/>
        <v>81.25</v>
      </c>
      <c r="J21" s="150">
        <f t="shared" si="1"/>
        <v>568.75</v>
      </c>
    </row>
    <row r="22" spans="1:10" x14ac:dyDescent="0.3">
      <c r="A22" s="119" t="s">
        <v>188</v>
      </c>
      <c r="B22" s="119" t="s">
        <v>189</v>
      </c>
      <c r="C22" s="161">
        <v>12.5</v>
      </c>
      <c r="D22" s="145">
        <v>38.5</v>
      </c>
      <c r="E22" s="145">
        <v>0</v>
      </c>
      <c r="F22" s="150">
        <f t="shared" si="0"/>
        <v>481.25</v>
      </c>
      <c r="G22" s="150">
        <f t="shared" si="2"/>
        <v>0</v>
      </c>
      <c r="H22" s="150">
        <f t="shared" si="3"/>
        <v>481.25</v>
      </c>
      <c r="I22" s="150">
        <f t="shared" si="4"/>
        <v>60.15625</v>
      </c>
      <c r="J22" s="150">
        <f t="shared" si="1"/>
        <v>421.09375</v>
      </c>
    </row>
    <row r="23" spans="1:10" x14ac:dyDescent="0.3">
      <c r="A23" s="119" t="s">
        <v>190</v>
      </c>
      <c r="B23" s="119" t="s">
        <v>191</v>
      </c>
      <c r="C23" s="161">
        <v>14</v>
      </c>
      <c r="D23" s="145">
        <v>40</v>
      </c>
      <c r="E23" s="145">
        <v>5</v>
      </c>
      <c r="F23" s="150">
        <f t="shared" si="0"/>
        <v>560</v>
      </c>
      <c r="G23" s="150">
        <f t="shared" si="2"/>
        <v>125</v>
      </c>
      <c r="H23" s="150">
        <f t="shared" si="3"/>
        <v>685</v>
      </c>
      <c r="I23" s="150">
        <f t="shared" si="4"/>
        <v>85.625</v>
      </c>
      <c r="J23" s="150">
        <f t="shared" si="1"/>
        <v>599.375</v>
      </c>
    </row>
    <row r="24" spans="1:10" x14ac:dyDescent="0.3">
      <c r="A24" s="119" t="s">
        <v>192</v>
      </c>
      <c r="B24" s="119" t="s">
        <v>193</v>
      </c>
      <c r="C24" s="161">
        <v>14</v>
      </c>
      <c r="D24" s="145">
        <v>40</v>
      </c>
      <c r="E24" s="145">
        <v>5</v>
      </c>
      <c r="F24" s="150">
        <f t="shared" si="0"/>
        <v>560</v>
      </c>
      <c r="G24" s="150">
        <f t="shared" si="2"/>
        <v>125</v>
      </c>
      <c r="H24" s="150">
        <f t="shared" si="3"/>
        <v>685</v>
      </c>
      <c r="I24" s="150">
        <f t="shared" si="4"/>
        <v>85.625</v>
      </c>
      <c r="J24" s="150">
        <f t="shared" si="1"/>
        <v>599.375</v>
      </c>
    </row>
    <row r="32" spans="1:10" x14ac:dyDescent="0.3">
      <c r="B32"/>
      <c r="C32"/>
      <c r="D32"/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  <pageSetUpPr fitToPage="1"/>
  </sheetPr>
  <dimension ref="A2:R62"/>
  <sheetViews>
    <sheetView workbookViewId="0">
      <selection activeCell="I16" sqref="I16"/>
    </sheetView>
  </sheetViews>
  <sheetFormatPr defaultColWidth="9.109375" defaultRowHeight="14.4" x14ac:dyDescent="0.3"/>
  <cols>
    <col min="1" max="1" width="22.109375" style="17" bestFit="1" customWidth="1"/>
    <col min="2" max="2" width="10.5546875" style="17" bestFit="1" customWidth="1"/>
    <col min="3" max="3" width="3.88671875" style="17" customWidth="1"/>
    <col min="4" max="4" width="4" style="17" bestFit="1" customWidth="1"/>
    <col min="5" max="5" width="10.6640625" style="17" bestFit="1" customWidth="1"/>
    <col min="6" max="6" width="10.5546875" style="17" bestFit="1" customWidth="1"/>
    <col min="7" max="7" width="4.109375" style="17" customWidth="1"/>
    <col min="8" max="8" width="17.5546875" style="17" bestFit="1" customWidth="1"/>
    <col min="9" max="9" width="9" style="17" customWidth="1"/>
    <col min="10" max="10" width="6.109375" style="17" bestFit="1" customWidth="1"/>
    <col min="11" max="11" width="9.5546875" style="43" customWidth="1"/>
    <col min="12" max="12" width="13.5546875" style="17" bestFit="1" customWidth="1"/>
    <col min="13" max="13" width="10.5546875" style="17" customWidth="1"/>
    <col min="14" max="14" width="5.33203125" style="27" customWidth="1"/>
    <col min="15" max="15" width="15.44140625" style="17" bestFit="1" customWidth="1"/>
    <col min="16" max="16" width="9.88671875" style="17" customWidth="1"/>
    <col min="17" max="17" width="11.109375" style="17" customWidth="1"/>
    <col min="18" max="18" width="6.109375" style="17" customWidth="1"/>
    <col min="19" max="16384" width="9.109375" style="17"/>
  </cols>
  <sheetData>
    <row r="2" spans="1:18" ht="15" thickBot="1" x14ac:dyDescent="0.35">
      <c r="E2" s="1" t="s">
        <v>154</v>
      </c>
      <c r="F2" s="1"/>
      <c r="G2" s="1"/>
      <c r="H2" s="1"/>
      <c r="I2" s="1"/>
    </row>
    <row r="3" spans="1:18" ht="18.600000000000001" thickBot="1" x14ac:dyDescent="0.4">
      <c r="A3" s="76" t="s">
        <v>77</v>
      </c>
      <c r="B3" s="122">
        <v>140</v>
      </c>
      <c r="C3" s="27"/>
      <c r="E3" s="1"/>
      <c r="F3" s="1"/>
      <c r="G3" s="1"/>
      <c r="H3" s="1"/>
      <c r="I3" s="1"/>
      <c r="K3" s="80" t="s">
        <v>78</v>
      </c>
      <c r="L3" s="81" t="s">
        <v>79</v>
      </c>
      <c r="M3" s="82" t="s">
        <v>80</v>
      </c>
      <c r="N3" s="17"/>
      <c r="O3" s="72" t="s">
        <v>81</v>
      </c>
      <c r="P3" s="45"/>
      <c r="Q3" s="45"/>
      <c r="R3" s="46"/>
    </row>
    <row r="4" spans="1:18" ht="15" thickBot="1" x14ac:dyDescent="0.35">
      <c r="B4" s="27"/>
      <c r="C4" s="27"/>
      <c r="I4" s="29"/>
      <c r="K4" s="123">
        <v>1</v>
      </c>
      <c r="L4" s="30">
        <f t="shared" ref="L4:L18" si="0">($F$7*K4%)+$F$7</f>
        <v>0.26441800000000004</v>
      </c>
      <c r="M4" s="83">
        <f t="shared" ref="M4:M18" si="1">L4+$F$8</f>
        <v>2.6180000000000092E-3</v>
      </c>
      <c r="N4" s="17"/>
      <c r="O4" s="67"/>
      <c r="P4" s="27" t="s">
        <v>82</v>
      </c>
      <c r="Q4" s="27" t="s">
        <v>83</v>
      </c>
      <c r="R4" s="49"/>
    </row>
    <row r="5" spans="1:18" x14ac:dyDescent="0.3">
      <c r="A5" s="44" t="s">
        <v>84</v>
      </c>
      <c r="B5" s="124">
        <v>66</v>
      </c>
      <c r="C5" s="32"/>
      <c r="E5" s="44" t="s">
        <v>85</v>
      </c>
      <c r="F5" s="86" t="s">
        <v>86</v>
      </c>
      <c r="G5" s="27"/>
      <c r="H5" s="66"/>
      <c r="I5" s="86" t="s">
        <v>87</v>
      </c>
      <c r="K5" s="123">
        <v>2</v>
      </c>
      <c r="L5" s="30">
        <f t="shared" si="0"/>
        <v>0.26703600000000005</v>
      </c>
      <c r="M5" s="83">
        <f t="shared" si="1"/>
        <v>5.2360000000000184E-3</v>
      </c>
      <c r="N5" s="17"/>
      <c r="O5" s="67" t="s">
        <v>88</v>
      </c>
      <c r="P5" s="125">
        <v>200</v>
      </c>
      <c r="Q5" s="32">
        <f>P5/2.54</f>
        <v>78.740157480314963</v>
      </c>
      <c r="R5" s="68" t="s">
        <v>89</v>
      </c>
    </row>
    <row r="6" spans="1:18" ht="15" thickBot="1" x14ac:dyDescent="0.35">
      <c r="A6" s="77" t="s">
        <v>90</v>
      </c>
      <c r="B6" s="126">
        <v>0.34</v>
      </c>
      <c r="C6" s="33"/>
      <c r="E6" s="47"/>
      <c r="F6" s="49"/>
      <c r="H6" s="47"/>
      <c r="I6" s="87"/>
      <c r="K6" s="123">
        <v>3</v>
      </c>
      <c r="L6" s="30">
        <f t="shared" si="0"/>
        <v>0.26965400000000006</v>
      </c>
      <c r="M6" s="83">
        <f t="shared" si="1"/>
        <v>7.8540000000000276E-3</v>
      </c>
      <c r="N6" s="17"/>
      <c r="O6" s="67"/>
      <c r="P6" s="27"/>
      <c r="Q6" s="27"/>
      <c r="R6" s="68"/>
    </row>
    <row r="7" spans="1:18" x14ac:dyDescent="0.3">
      <c r="A7" s="17" t="s">
        <v>91</v>
      </c>
      <c r="B7" s="34"/>
      <c r="C7" s="34"/>
      <c r="E7" s="47"/>
      <c r="F7" s="83">
        <f>(B3*B6/12000)*B5</f>
        <v>0.26180000000000003</v>
      </c>
      <c r="G7" s="31"/>
      <c r="H7" s="47" t="s">
        <v>92</v>
      </c>
      <c r="I7" s="88">
        <f>B9*F7+B5</f>
        <v>14805.000000000002</v>
      </c>
      <c r="K7" s="123">
        <v>4</v>
      </c>
      <c r="L7" s="30">
        <f t="shared" si="0"/>
        <v>0.27227200000000001</v>
      </c>
      <c r="M7" s="83">
        <f t="shared" si="1"/>
        <v>1.0471999999999981E-2</v>
      </c>
      <c r="N7" s="17"/>
      <c r="O7" s="67"/>
      <c r="P7" s="27" t="s">
        <v>83</v>
      </c>
      <c r="Q7" s="27" t="s">
        <v>82</v>
      </c>
      <c r="R7" s="68"/>
    </row>
    <row r="8" spans="1:18" ht="15" thickBot="1" x14ac:dyDescent="0.35">
      <c r="B8" s="27"/>
      <c r="C8" s="27"/>
      <c r="E8" s="47" t="s">
        <v>93</v>
      </c>
      <c r="F8" s="95">
        <f>F9-F7</f>
        <v>-0.26180000000000003</v>
      </c>
      <c r="G8" s="35"/>
      <c r="H8" s="89" t="s">
        <v>94</v>
      </c>
      <c r="I8" s="49"/>
      <c r="K8" s="123">
        <v>5</v>
      </c>
      <c r="L8" s="30">
        <f t="shared" si="0"/>
        <v>0.27489000000000002</v>
      </c>
      <c r="M8" s="83">
        <f t="shared" si="1"/>
        <v>1.3089999999999991E-2</v>
      </c>
      <c r="N8" s="17"/>
      <c r="O8" s="69" t="s">
        <v>89</v>
      </c>
      <c r="P8" s="127">
        <v>0.185</v>
      </c>
      <c r="Q8" s="70">
        <f>P8*2.54</f>
        <v>0.46989999999999998</v>
      </c>
      <c r="R8" s="71" t="s">
        <v>88</v>
      </c>
    </row>
    <row r="9" spans="1:18" ht="15" thickBot="1" x14ac:dyDescent="0.35">
      <c r="A9" s="44" t="s">
        <v>95</v>
      </c>
      <c r="B9" s="78">
        <f>(43350/B3)*12000/B5</f>
        <v>56298.7012987013</v>
      </c>
      <c r="C9" s="36"/>
      <c r="E9" s="47" t="s">
        <v>96</v>
      </c>
      <c r="F9" s="96"/>
      <c r="G9" s="30"/>
      <c r="H9" s="90" t="s">
        <v>97</v>
      </c>
      <c r="I9" s="88">
        <f>F9*B9</f>
        <v>0</v>
      </c>
      <c r="K9" s="123">
        <v>6</v>
      </c>
      <c r="L9" s="30">
        <f t="shared" si="0"/>
        <v>0.27750800000000003</v>
      </c>
      <c r="M9" s="83">
        <f t="shared" si="1"/>
        <v>1.5708E-2</v>
      </c>
      <c r="N9" s="17"/>
      <c r="O9" s="27"/>
    </row>
    <row r="10" spans="1:18" ht="18.600000000000001" thickBot="1" x14ac:dyDescent="0.4">
      <c r="A10" s="77" t="s">
        <v>98</v>
      </c>
      <c r="B10" s="128">
        <v>17</v>
      </c>
      <c r="C10" s="36"/>
      <c r="E10" s="67" t="s">
        <v>99</v>
      </c>
      <c r="F10" s="49" t="s">
        <v>100</v>
      </c>
      <c r="H10" s="129">
        <v>74426</v>
      </c>
      <c r="I10" s="49"/>
      <c r="K10" s="123">
        <v>7</v>
      </c>
      <c r="L10" s="30">
        <f t="shared" si="0"/>
        <v>0.28012600000000004</v>
      </c>
      <c r="M10" s="83">
        <f t="shared" si="1"/>
        <v>1.8326000000000009E-2</v>
      </c>
      <c r="N10" s="17"/>
      <c r="O10" s="75" t="s">
        <v>101</v>
      </c>
      <c r="P10" s="45"/>
      <c r="Q10" s="45"/>
      <c r="R10" s="46"/>
    </row>
    <row r="11" spans="1:18" ht="15" thickBot="1" x14ac:dyDescent="0.35">
      <c r="B11" s="27"/>
      <c r="C11" s="27"/>
      <c r="E11" s="67" t="s">
        <v>102</v>
      </c>
      <c r="F11" s="49" t="s">
        <v>103</v>
      </c>
      <c r="H11" s="91">
        <f>H10/B9</f>
        <v>1.3219843137254901</v>
      </c>
      <c r="I11" s="49"/>
      <c r="K11" s="123">
        <v>8</v>
      </c>
      <c r="L11" s="30">
        <f t="shared" si="0"/>
        <v>0.28274400000000005</v>
      </c>
      <c r="M11" s="83">
        <f t="shared" si="1"/>
        <v>2.0944000000000018E-2</v>
      </c>
      <c r="N11" s="17"/>
      <c r="O11" s="67" t="s">
        <v>104</v>
      </c>
      <c r="P11" s="35">
        <f>F7</f>
        <v>0.26180000000000003</v>
      </c>
      <c r="Q11" s="17" t="s">
        <v>105</v>
      </c>
      <c r="R11" s="49"/>
    </row>
    <row r="12" spans="1:18" x14ac:dyDescent="0.3">
      <c r="A12" s="44" t="s">
        <v>106</v>
      </c>
      <c r="B12" s="79">
        <f>B9/B10</f>
        <v>3311.6883116883118</v>
      </c>
      <c r="C12" s="38"/>
      <c r="D12" s="36"/>
      <c r="E12" s="97" t="s">
        <v>107</v>
      </c>
      <c r="F12" s="49" t="s">
        <v>103</v>
      </c>
      <c r="H12" s="92">
        <f>CEILING(H11,1)</f>
        <v>2</v>
      </c>
      <c r="I12" s="49"/>
      <c r="K12" s="123">
        <v>9</v>
      </c>
      <c r="L12" s="30">
        <f t="shared" si="0"/>
        <v>0.28536200000000006</v>
      </c>
      <c r="M12" s="83">
        <f t="shared" si="1"/>
        <v>2.3562000000000027E-2</v>
      </c>
      <c r="N12" s="17"/>
      <c r="O12" s="67" t="s">
        <v>108</v>
      </c>
      <c r="P12" s="39">
        <f>H10</f>
        <v>74426</v>
      </c>
      <c r="Q12" s="17" t="s">
        <v>109</v>
      </c>
      <c r="R12" s="49"/>
    </row>
    <row r="13" spans="1:18" ht="15" thickBot="1" x14ac:dyDescent="0.35">
      <c r="A13" s="77" t="s">
        <v>98</v>
      </c>
      <c r="B13" s="128">
        <v>18</v>
      </c>
      <c r="C13" s="36"/>
      <c r="D13" s="10"/>
      <c r="E13" s="50" t="s">
        <v>110</v>
      </c>
      <c r="F13" s="49"/>
      <c r="H13" s="93">
        <f>H12*B9</f>
        <v>112597.4025974026</v>
      </c>
      <c r="I13" s="94"/>
      <c r="K13" s="123">
        <v>10</v>
      </c>
      <c r="L13" s="30">
        <f t="shared" si="0"/>
        <v>0.28798000000000001</v>
      </c>
      <c r="M13" s="83">
        <f t="shared" si="1"/>
        <v>2.6179999999999981E-2</v>
      </c>
      <c r="N13" s="17"/>
      <c r="O13" s="67" t="s">
        <v>111</v>
      </c>
      <c r="P13" s="28">
        <f>P11*P12</f>
        <v>19484.726800000004</v>
      </c>
      <c r="Q13" s="17" t="s">
        <v>112</v>
      </c>
      <c r="R13" s="49"/>
    </row>
    <row r="14" spans="1:18" ht="15" thickBot="1" x14ac:dyDescent="0.35">
      <c r="B14" s="27"/>
      <c r="C14" s="27"/>
      <c r="D14" s="37"/>
      <c r="E14" s="50" t="s">
        <v>113</v>
      </c>
      <c r="F14" s="87" t="s">
        <v>114</v>
      </c>
      <c r="G14" s="10"/>
      <c r="K14" s="123">
        <v>11</v>
      </c>
      <c r="L14" s="30">
        <f t="shared" si="0"/>
        <v>0.29059800000000002</v>
      </c>
      <c r="M14" s="83">
        <f t="shared" si="1"/>
        <v>2.879799999999999E-2</v>
      </c>
      <c r="N14" s="17"/>
      <c r="O14" s="69" t="s">
        <v>111</v>
      </c>
      <c r="P14" s="73">
        <f>F9*P12</f>
        <v>0</v>
      </c>
      <c r="Q14" s="74" t="s">
        <v>115</v>
      </c>
      <c r="R14" s="54"/>
    </row>
    <row r="15" spans="1:18" ht="15" thickBot="1" x14ac:dyDescent="0.35">
      <c r="A15" s="44" t="s">
        <v>106</v>
      </c>
      <c r="B15" s="79">
        <f>B9/B13</f>
        <v>3127.7056277056276</v>
      </c>
      <c r="C15" s="38"/>
      <c r="E15" s="98">
        <f>($B$9*$B$5)/12000*$B$3</f>
        <v>43350</v>
      </c>
      <c r="F15" s="99">
        <f>E15+(B10*60)</f>
        <v>44370</v>
      </c>
      <c r="G15" s="41"/>
      <c r="K15" s="123">
        <v>12</v>
      </c>
      <c r="L15" s="30">
        <f t="shared" si="0"/>
        <v>0.29321600000000003</v>
      </c>
      <c r="M15" s="83">
        <f t="shared" si="1"/>
        <v>3.1415999999999999E-2</v>
      </c>
    </row>
    <row r="16" spans="1:18" ht="15" thickBot="1" x14ac:dyDescent="0.35">
      <c r="A16" s="77" t="s">
        <v>116</v>
      </c>
      <c r="B16" s="100"/>
      <c r="C16" s="42"/>
      <c r="K16" s="123">
        <v>13</v>
      </c>
      <c r="L16" s="30">
        <f t="shared" si="0"/>
        <v>0.29583400000000004</v>
      </c>
      <c r="M16" s="83">
        <f t="shared" si="1"/>
        <v>3.4034000000000009E-2</v>
      </c>
    </row>
    <row r="17" spans="1:18" ht="15" thickBot="1" x14ac:dyDescent="0.35">
      <c r="K17" s="123">
        <v>14</v>
      </c>
      <c r="L17" s="30">
        <f t="shared" si="0"/>
        <v>0.29845200000000005</v>
      </c>
      <c r="M17" s="83">
        <f t="shared" si="1"/>
        <v>3.6652000000000018E-2</v>
      </c>
    </row>
    <row r="18" spans="1:18" ht="15" thickBot="1" x14ac:dyDescent="0.35">
      <c r="A18" s="101" t="s">
        <v>117</v>
      </c>
      <c r="B18" s="46"/>
      <c r="D18" s="101" t="s">
        <v>118</v>
      </c>
      <c r="E18" s="45"/>
      <c r="F18" s="46"/>
      <c r="K18" s="130">
        <v>15</v>
      </c>
      <c r="L18" s="84">
        <f t="shared" si="0"/>
        <v>0.30107000000000006</v>
      </c>
      <c r="M18" s="85">
        <f t="shared" si="1"/>
        <v>3.9270000000000027E-2</v>
      </c>
    </row>
    <row r="19" spans="1:18" ht="15" thickBot="1" x14ac:dyDescent="0.35">
      <c r="A19" s="47" t="s">
        <v>119</v>
      </c>
      <c r="B19" s="131">
        <v>140</v>
      </c>
      <c r="C19" s="27"/>
      <c r="D19" s="47"/>
      <c r="E19" s="17" t="s">
        <v>119</v>
      </c>
      <c r="F19" s="131">
        <v>140</v>
      </c>
      <c r="G19" s="27"/>
    </row>
    <row r="20" spans="1:18" x14ac:dyDescent="0.3">
      <c r="A20" s="47" t="s">
        <v>120</v>
      </c>
      <c r="B20" s="131">
        <v>72</v>
      </c>
      <c r="C20" s="27"/>
      <c r="D20" s="47"/>
      <c r="E20" s="17" t="s">
        <v>120</v>
      </c>
      <c r="F20" s="131">
        <v>66</v>
      </c>
      <c r="G20" s="27"/>
      <c r="N20" s="17"/>
      <c r="O20" s="44"/>
      <c r="P20" s="45"/>
      <c r="Q20" s="45" t="s">
        <v>121</v>
      </c>
      <c r="R20" s="46"/>
    </row>
    <row r="21" spans="1:18" ht="15" thickBot="1" x14ac:dyDescent="0.35">
      <c r="A21" s="47" t="s">
        <v>100</v>
      </c>
      <c r="B21" s="132">
        <v>12144</v>
      </c>
      <c r="C21" s="36"/>
      <c r="D21" s="47"/>
      <c r="E21" s="17" t="s">
        <v>100</v>
      </c>
      <c r="F21" s="132">
        <v>43056</v>
      </c>
      <c r="G21" s="36"/>
      <c r="N21" s="17"/>
      <c r="O21" s="47" t="s">
        <v>124</v>
      </c>
      <c r="Q21" s="48">
        <f>E15/B9</f>
        <v>0.77</v>
      </c>
      <c r="R21" s="49" t="s">
        <v>123</v>
      </c>
    </row>
    <row r="22" spans="1:18" ht="15" thickBot="1" x14ac:dyDescent="0.35">
      <c r="A22" s="77" t="s">
        <v>122</v>
      </c>
      <c r="B22" s="102">
        <f>(B20*B21/12000)*B19</f>
        <v>10200.960000000001</v>
      </c>
      <c r="C22" s="38"/>
      <c r="D22" s="77" t="s">
        <v>123</v>
      </c>
      <c r="E22" s="74" t="s">
        <v>122</v>
      </c>
      <c r="F22" s="102">
        <f>(F20*F21/12000)*F19</f>
        <v>33153.119999999995</v>
      </c>
      <c r="G22" s="38"/>
      <c r="H22" s="104" t="s">
        <v>153</v>
      </c>
      <c r="I22" s="105">
        <f>B22+F22</f>
        <v>43354.079999999994</v>
      </c>
      <c r="J22" s="106" t="s">
        <v>123</v>
      </c>
      <c r="N22" s="17"/>
      <c r="O22" s="47" t="s">
        <v>125</v>
      </c>
      <c r="Q22" s="48">
        <f>Q21*1000</f>
        <v>770</v>
      </c>
      <c r="R22" s="49" t="s">
        <v>123</v>
      </c>
    </row>
    <row r="23" spans="1:18" ht="15" thickBot="1" x14ac:dyDescent="0.35">
      <c r="B23" s="38"/>
      <c r="C23" s="38"/>
      <c r="N23" s="17"/>
      <c r="O23" s="47"/>
      <c r="Q23" s="10"/>
      <c r="R23" s="49"/>
    </row>
    <row r="24" spans="1:18" x14ac:dyDescent="0.3">
      <c r="A24" s="101" t="s">
        <v>126</v>
      </c>
      <c r="B24" s="46"/>
      <c r="D24" s="101" t="s">
        <v>127</v>
      </c>
      <c r="E24" s="45"/>
      <c r="F24" s="46"/>
      <c r="N24" s="17"/>
      <c r="O24" s="47" t="s">
        <v>128</v>
      </c>
      <c r="Q24" s="133">
        <v>17</v>
      </c>
      <c r="R24" s="49" t="s">
        <v>129</v>
      </c>
    </row>
    <row r="25" spans="1:18" x14ac:dyDescent="0.3">
      <c r="A25" s="47" t="s">
        <v>119</v>
      </c>
      <c r="B25" s="131">
        <v>190</v>
      </c>
      <c r="C25" s="27"/>
      <c r="D25" s="47"/>
      <c r="E25" s="17" t="s">
        <v>119</v>
      </c>
      <c r="F25" s="131">
        <v>190</v>
      </c>
      <c r="G25" s="27"/>
      <c r="N25" s="17"/>
      <c r="O25" s="50" t="s">
        <v>130</v>
      </c>
      <c r="P25" s="40"/>
      <c r="Q25" s="51">
        <f>B9/Q24</f>
        <v>3311.6883116883118</v>
      </c>
      <c r="R25" s="49" t="s">
        <v>109</v>
      </c>
    </row>
    <row r="26" spans="1:18" ht="15" thickBot="1" x14ac:dyDescent="0.35">
      <c r="A26" s="47" t="s">
        <v>120</v>
      </c>
      <c r="B26" s="131">
        <v>26.25</v>
      </c>
      <c r="C26" s="27"/>
      <c r="D26" s="47"/>
      <c r="E26" s="17" t="s">
        <v>120</v>
      </c>
      <c r="F26" s="131">
        <v>24.5</v>
      </c>
      <c r="G26" s="27"/>
      <c r="N26" s="17"/>
      <c r="O26" s="52" t="s">
        <v>131</v>
      </c>
      <c r="P26" s="65"/>
      <c r="Q26" s="53">
        <f>Q25*Q21</f>
        <v>2550</v>
      </c>
      <c r="R26" s="54" t="s">
        <v>123</v>
      </c>
    </row>
    <row r="27" spans="1:18" ht="15" thickBot="1" x14ac:dyDescent="0.35">
      <c r="A27" s="47" t="s">
        <v>100</v>
      </c>
      <c r="B27" s="132">
        <v>8000</v>
      </c>
      <c r="C27" s="36"/>
      <c r="D27" s="47"/>
      <c r="E27" s="17" t="s">
        <v>100</v>
      </c>
      <c r="F27" s="132">
        <v>3000</v>
      </c>
      <c r="G27" s="36"/>
      <c r="L27" s="27"/>
      <c r="M27" s="27"/>
    </row>
    <row r="28" spans="1:18" ht="15" thickBot="1" x14ac:dyDescent="0.35">
      <c r="A28" s="77" t="s">
        <v>122</v>
      </c>
      <c r="B28" s="102">
        <f>(B26*B27/12000)*B25</f>
        <v>3325</v>
      </c>
      <c r="C28" s="38"/>
      <c r="D28" s="77" t="s">
        <v>123</v>
      </c>
      <c r="E28" s="74" t="s">
        <v>122</v>
      </c>
      <c r="F28" s="102">
        <f>(F26*F27/12000)*F25</f>
        <v>1163.75</v>
      </c>
      <c r="G28" s="38"/>
      <c r="H28" s="104" t="s">
        <v>152</v>
      </c>
      <c r="I28" s="105">
        <f>B28+F28</f>
        <v>4488.75</v>
      </c>
      <c r="J28" s="106" t="s">
        <v>123</v>
      </c>
    </row>
    <row r="29" spans="1:18" ht="15.6" thickTop="1" thickBot="1" x14ac:dyDescent="0.35">
      <c r="H29" s="107" t="s">
        <v>132</v>
      </c>
      <c r="I29" s="108">
        <f>SUM(I22:I28)</f>
        <v>47842.829999999994</v>
      </c>
      <c r="N29" s="17"/>
      <c r="O29" s="109" t="s">
        <v>48</v>
      </c>
      <c r="P29" s="110">
        <f>I29+I41</f>
        <v>57936.16333333333</v>
      </c>
      <c r="Q29" s="110">
        <f>MAX(P13,P29)</f>
        <v>57936.16333333333</v>
      </c>
    </row>
    <row r="30" spans="1:18" ht="15" thickTop="1" x14ac:dyDescent="0.3">
      <c r="A30" s="101" t="s">
        <v>133</v>
      </c>
      <c r="B30" s="46"/>
      <c r="D30" s="101" t="s">
        <v>134</v>
      </c>
      <c r="E30" s="45"/>
      <c r="F30" s="46"/>
    </row>
    <row r="31" spans="1:18" ht="15" thickBot="1" x14ac:dyDescent="0.35">
      <c r="A31" s="47" t="s">
        <v>119</v>
      </c>
      <c r="B31" s="131">
        <v>160</v>
      </c>
      <c r="C31" s="27"/>
      <c r="D31" s="47"/>
      <c r="E31" s="17" t="s">
        <v>119</v>
      </c>
      <c r="F31" s="131">
        <v>160</v>
      </c>
      <c r="G31" s="27"/>
    </row>
    <row r="32" spans="1:18" x14ac:dyDescent="0.3">
      <c r="A32" s="47" t="s">
        <v>120</v>
      </c>
      <c r="B32" s="131">
        <v>21.25</v>
      </c>
      <c r="C32" s="27"/>
      <c r="D32" s="47"/>
      <c r="E32" s="17" t="s">
        <v>120</v>
      </c>
      <c r="F32" s="131">
        <v>27.75</v>
      </c>
      <c r="G32" s="27"/>
      <c r="O32" s="111" t="s">
        <v>137</v>
      </c>
      <c r="P32" s="134">
        <v>5</v>
      </c>
      <c r="Q32" s="114">
        <f>IF($B$63&lt;=120,$B$63*19350,"Too Many!")</f>
        <v>0</v>
      </c>
    </row>
    <row r="33" spans="1:17" ht="15" thickBot="1" x14ac:dyDescent="0.35">
      <c r="A33" s="47" t="s">
        <v>100</v>
      </c>
      <c r="B33" s="132">
        <v>4000</v>
      </c>
      <c r="C33" s="36"/>
      <c r="D33" s="47"/>
      <c r="E33" s="17" t="s">
        <v>100</v>
      </c>
      <c r="F33" s="132">
        <v>14000</v>
      </c>
      <c r="G33" s="36"/>
      <c r="N33" s="17"/>
      <c r="O33" s="112"/>
      <c r="P33" s="135">
        <v>834</v>
      </c>
      <c r="Q33" s="115">
        <f>IF($B$64&lt;=6150,($B$64*90)+((P33/10)*200), "Too Many!")</f>
        <v>16680</v>
      </c>
    </row>
    <row r="34" spans="1:17" ht="15" thickBot="1" x14ac:dyDescent="0.35">
      <c r="A34" s="77" t="s">
        <v>122</v>
      </c>
      <c r="B34" s="102">
        <f>(B32*B33/12000)*B31</f>
        <v>1133.3333333333333</v>
      </c>
      <c r="C34" s="38"/>
      <c r="D34" s="77" t="s">
        <v>123</v>
      </c>
      <c r="E34" s="74" t="s">
        <v>122</v>
      </c>
      <c r="F34" s="102">
        <f>(F32*F33/12000)*F31</f>
        <v>5180</v>
      </c>
      <c r="G34" s="38"/>
      <c r="H34" s="104" t="s">
        <v>151</v>
      </c>
      <c r="I34" s="105">
        <f>B34+F34</f>
        <v>6313.333333333333</v>
      </c>
      <c r="J34" s="106" t="s">
        <v>123</v>
      </c>
      <c r="O34" s="112"/>
      <c r="P34" s="136">
        <v>1</v>
      </c>
      <c r="Q34" s="116">
        <f>65000+6600</f>
        <v>71600</v>
      </c>
    </row>
    <row r="35" spans="1:17" ht="15" thickBot="1" x14ac:dyDescent="0.35">
      <c r="O35" s="112"/>
      <c r="P35" s="59">
        <f>IF(AND(P32&lt;=24,P37&gt;615),"Too Big",IF(AND(P32&lt;=24,P37&gt;473),4,IF(AND(P32&lt;=24,P37&gt;343),3,IF(AND(P32&lt;=24,P37&gt;213),2,IF(AND(P32&lt;=24,P37&gt;83),1,0)))))</f>
        <v>1</v>
      </c>
      <c r="Q35" s="115">
        <f>SUM(P32*19900)</f>
        <v>99500</v>
      </c>
    </row>
    <row r="36" spans="1:17" x14ac:dyDescent="0.3">
      <c r="A36" s="101" t="s">
        <v>135</v>
      </c>
      <c r="B36" s="46"/>
      <c r="D36" s="101" t="s">
        <v>136</v>
      </c>
      <c r="E36" s="103"/>
      <c r="F36" s="46"/>
      <c r="O36" s="112"/>
      <c r="P36" s="56">
        <f>IF(AND(P32&gt;120),"Too Big",IF(AND(P32&gt;96),4,IF(AND(P32&gt;72),3,IF(AND(P32&gt;48),2,IF(AND(P32&gt;24),1,0)))))</f>
        <v>0</v>
      </c>
      <c r="Q36" s="115">
        <f>SUM((P36)*48400)</f>
        <v>0</v>
      </c>
    </row>
    <row r="37" spans="1:17" ht="15" thickBot="1" x14ac:dyDescent="0.35">
      <c r="A37" s="47" t="s">
        <v>119</v>
      </c>
      <c r="B37" s="131">
        <v>160</v>
      </c>
      <c r="C37" s="27"/>
      <c r="D37" s="47"/>
      <c r="E37" s="17" t="s">
        <v>119</v>
      </c>
      <c r="F37" s="131">
        <v>160</v>
      </c>
      <c r="G37" s="27"/>
      <c r="O37" s="113" t="s">
        <v>138</v>
      </c>
      <c r="P37" s="117">
        <f>ROUNDUP(P33/10,0)</f>
        <v>84</v>
      </c>
      <c r="Q37" s="118">
        <f>(P37-10)*800</f>
        <v>59200</v>
      </c>
    </row>
    <row r="38" spans="1:17" x14ac:dyDescent="0.3">
      <c r="A38" s="47" t="s">
        <v>120</v>
      </c>
      <c r="B38" s="131">
        <v>26.25</v>
      </c>
      <c r="C38" s="27"/>
      <c r="D38" s="47"/>
      <c r="E38" s="17" t="s">
        <v>120</v>
      </c>
      <c r="F38" s="131">
        <v>24.5</v>
      </c>
      <c r="G38" s="27"/>
    </row>
    <row r="39" spans="1:17" ht="15" thickBot="1" x14ac:dyDescent="0.35">
      <c r="A39" s="47" t="s">
        <v>100</v>
      </c>
      <c r="B39" s="132">
        <v>8000</v>
      </c>
      <c r="C39" s="36"/>
      <c r="D39" s="47"/>
      <c r="E39" s="17" t="s">
        <v>100</v>
      </c>
      <c r="F39" s="132">
        <v>3000</v>
      </c>
      <c r="G39" s="36"/>
    </row>
    <row r="40" spans="1:17" ht="15" thickBot="1" x14ac:dyDescent="0.35">
      <c r="A40" s="77" t="s">
        <v>122</v>
      </c>
      <c r="B40" s="102">
        <f>(B38*B39/12000)*B37</f>
        <v>2800</v>
      </c>
      <c r="C40" s="38"/>
      <c r="D40" s="77" t="s">
        <v>123</v>
      </c>
      <c r="E40" s="74" t="s">
        <v>122</v>
      </c>
      <c r="F40" s="102">
        <f>(F38*F39/12000)*F37</f>
        <v>980</v>
      </c>
      <c r="G40" s="38"/>
      <c r="H40" s="104" t="s">
        <v>150</v>
      </c>
      <c r="I40" s="105">
        <f>B40+F40</f>
        <v>3780</v>
      </c>
      <c r="J40" s="106" t="s">
        <v>123</v>
      </c>
    </row>
    <row r="41" spans="1:17" ht="15.6" thickTop="1" thickBot="1" x14ac:dyDescent="0.35">
      <c r="H41" s="107" t="s">
        <v>132</v>
      </c>
      <c r="I41" s="108">
        <f>SUM(I34:I40)</f>
        <v>10093.333333333332</v>
      </c>
    </row>
    <row r="42" spans="1:17" ht="15" thickTop="1" x14ac:dyDescent="0.3"/>
    <row r="44" spans="1:17" x14ac:dyDescent="0.3">
      <c r="G44" s="56"/>
    </row>
    <row r="45" spans="1:17" x14ac:dyDescent="0.3">
      <c r="G45" s="56"/>
    </row>
    <row r="46" spans="1:17" x14ac:dyDescent="0.3">
      <c r="G46" s="58"/>
    </row>
    <row r="47" spans="1:17" x14ac:dyDescent="0.3">
      <c r="G47" s="56"/>
    </row>
    <row r="48" spans="1:17" x14ac:dyDescent="0.3">
      <c r="G48" s="56"/>
    </row>
    <row r="49" spans="5:8" x14ac:dyDescent="0.3">
      <c r="G49" s="56"/>
    </row>
    <row r="50" spans="5:8" x14ac:dyDescent="0.3">
      <c r="E50" s="55"/>
      <c r="F50" s="56"/>
      <c r="G50" s="56"/>
      <c r="H50" s="57"/>
    </row>
    <row r="51" spans="5:8" x14ac:dyDescent="0.3">
      <c r="E51" s="55"/>
      <c r="F51" s="56"/>
      <c r="G51" s="56"/>
      <c r="H51" s="57"/>
    </row>
    <row r="52" spans="5:8" x14ac:dyDescent="0.3">
      <c r="E52" s="55"/>
      <c r="F52" s="56"/>
      <c r="G52" s="56"/>
      <c r="H52" s="61"/>
    </row>
    <row r="53" spans="5:8" x14ac:dyDescent="0.3">
      <c r="E53" s="55"/>
      <c r="F53" s="56"/>
      <c r="G53" s="56"/>
      <c r="H53" s="61"/>
    </row>
    <row r="54" spans="5:8" x14ac:dyDescent="0.3">
      <c r="E54" s="55"/>
      <c r="F54" s="56"/>
      <c r="G54" s="56"/>
      <c r="H54" s="61"/>
    </row>
    <row r="55" spans="5:8" x14ac:dyDescent="0.3">
      <c r="E55" s="55"/>
      <c r="F55" s="56"/>
      <c r="G55" s="56"/>
      <c r="H55" s="61"/>
    </row>
    <row r="56" spans="5:8" x14ac:dyDescent="0.3">
      <c r="E56" s="55"/>
      <c r="F56" s="56"/>
      <c r="G56" s="56"/>
      <c r="H56" s="62"/>
    </row>
    <row r="57" spans="5:8" x14ac:dyDescent="0.3">
      <c r="E57" s="55"/>
      <c r="F57" s="56"/>
      <c r="G57" s="56"/>
      <c r="H57" s="57"/>
    </row>
    <row r="58" spans="5:8" x14ac:dyDescent="0.3">
      <c r="E58" s="55"/>
      <c r="F58" s="56"/>
      <c r="G58" s="56"/>
      <c r="H58" s="60"/>
    </row>
    <row r="59" spans="5:8" x14ac:dyDescent="0.3">
      <c r="E59" s="55"/>
      <c r="F59" s="56"/>
      <c r="G59" s="56"/>
      <c r="H59" s="56"/>
    </row>
    <row r="60" spans="5:8" x14ac:dyDescent="0.3">
      <c r="E60" s="55"/>
      <c r="F60" s="56"/>
      <c r="G60" s="56"/>
      <c r="H60" s="63"/>
    </row>
    <row r="61" spans="5:8" x14ac:dyDescent="0.3">
      <c r="E61" s="55"/>
      <c r="F61" s="56"/>
      <c r="G61" s="56"/>
      <c r="H61" s="63"/>
    </row>
    <row r="62" spans="5:8" x14ac:dyDescent="0.3">
      <c r="E62" s="55"/>
      <c r="F62" s="56"/>
      <c r="G62" s="56"/>
      <c r="H62" s="63"/>
    </row>
  </sheetData>
  <mergeCells count="1">
    <mergeCell ref="E2:I3"/>
  </mergeCells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:R33"/>
  <sheetViews>
    <sheetView zoomScale="115" zoomScaleNormal="115" workbookViewId="0">
      <selection activeCell="C7" sqref="C7"/>
    </sheetView>
  </sheetViews>
  <sheetFormatPr defaultColWidth="9.109375" defaultRowHeight="13.8" x14ac:dyDescent="0.3"/>
  <cols>
    <col min="1" max="1" width="18.6640625" style="6" customWidth="1"/>
    <col min="2" max="4" width="17.44140625" style="6" bestFit="1" customWidth="1"/>
    <col min="5" max="5" width="17.44140625" style="6" customWidth="1"/>
    <col min="6" max="17" width="17.44140625" style="6" bestFit="1" customWidth="1"/>
    <col min="18" max="18" width="19.33203125" style="6" bestFit="1" customWidth="1"/>
    <col min="19" max="16384" width="9.109375" style="6"/>
  </cols>
  <sheetData>
    <row r="1" spans="1:18" ht="33" customHeight="1" thickBot="1" x14ac:dyDescent="0.55000000000000004">
      <c r="A1" s="166" t="s">
        <v>204</v>
      </c>
      <c r="B1" s="165"/>
      <c r="C1" s="165"/>
      <c r="D1" s="165"/>
      <c r="H1" s="170" t="s">
        <v>203</v>
      </c>
      <c r="I1" s="144">
        <f>R32</f>
        <v>450299140</v>
      </c>
      <c r="L1" s="3"/>
      <c r="M1" s="4"/>
      <c r="N1" s="3"/>
      <c r="O1" s="3"/>
      <c r="P1" s="3"/>
    </row>
    <row r="2" spans="1:18" ht="25.5" customHeight="1" thickTop="1" x14ac:dyDescent="0.3">
      <c r="A2" s="171" t="s">
        <v>199</v>
      </c>
      <c r="B2" s="171"/>
      <c r="C2" s="171"/>
      <c r="D2" s="171"/>
      <c r="E2" s="171"/>
      <c r="F2" s="171"/>
      <c r="H2" s="3"/>
      <c r="I2" s="4"/>
      <c r="J2" s="3"/>
      <c r="K2" s="3"/>
      <c r="L2" s="3"/>
      <c r="M2" s="4"/>
      <c r="N2" s="3"/>
      <c r="O2" s="3"/>
      <c r="P2" s="3"/>
      <c r="Q2" s="4"/>
      <c r="R2" s="5"/>
    </row>
    <row r="3" spans="1:18" s="9" customFormat="1" ht="15" thickBot="1" x14ac:dyDescent="0.35">
      <c r="A3" s="169"/>
      <c r="B3" s="167" t="s">
        <v>7</v>
      </c>
      <c r="C3" s="167" t="s">
        <v>11</v>
      </c>
      <c r="D3" s="167" t="s">
        <v>13</v>
      </c>
      <c r="E3" s="172" t="s">
        <v>44</v>
      </c>
      <c r="F3" s="167" t="s">
        <v>15</v>
      </c>
      <c r="G3" s="167" t="s">
        <v>19</v>
      </c>
      <c r="H3" s="167" t="s">
        <v>21</v>
      </c>
      <c r="I3" s="174" t="s">
        <v>45</v>
      </c>
      <c r="J3" s="167" t="s">
        <v>8</v>
      </c>
      <c r="K3" s="167" t="s">
        <v>12</v>
      </c>
      <c r="L3" s="167" t="s">
        <v>14</v>
      </c>
      <c r="M3" s="174" t="s">
        <v>46</v>
      </c>
      <c r="N3" s="167" t="s">
        <v>16</v>
      </c>
      <c r="O3" s="167" t="s">
        <v>20</v>
      </c>
      <c r="P3" s="167" t="s">
        <v>22</v>
      </c>
      <c r="Q3" s="174" t="s">
        <v>47</v>
      </c>
      <c r="R3" s="168" t="s">
        <v>48</v>
      </c>
    </row>
    <row r="4" spans="1:18" s="9" customFormat="1" ht="18" x14ac:dyDescent="0.35">
      <c r="A4" s="170" t="s">
        <v>49</v>
      </c>
      <c r="B4" s="175">
        <v>0.01</v>
      </c>
      <c r="C4"/>
      <c r="D4"/>
      <c r="E4" s="173"/>
      <c r="F4" s="175">
        <v>0.03</v>
      </c>
      <c r="G4"/>
      <c r="H4"/>
      <c r="I4" s="173"/>
      <c r="J4" s="175">
        <v>0.02</v>
      </c>
      <c r="K4"/>
      <c r="L4"/>
      <c r="M4" s="173"/>
      <c r="N4" s="175">
        <v>0.03</v>
      </c>
      <c r="O4"/>
      <c r="P4"/>
      <c r="Q4" s="173"/>
      <c r="R4"/>
    </row>
    <row r="5" spans="1:18" s="9" customFormat="1" ht="14.4" x14ac:dyDescent="0.3">
      <c r="A5" t="s">
        <v>50</v>
      </c>
      <c r="B5">
        <v>137000000</v>
      </c>
      <c r="C5">
        <f>ROUND(B5*(1+$B$4),-1)</f>
        <v>138370000</v>
      </c>
      <c r="D5">
        <f>ROUND(C5*(1+$B$4),-1)</f>
        <v>139753700</v>
      </c>
      <c r="E5" s="173">
        <f>SUM(B5:D5)</f>
        <v>415123700</v>
      </c>
      <c r="F5">
        <f>ROUND(D5*(1+$F$4),-1)</f>
        <v>143946310</v>
      </c>
      <c r="G5">
        <f>ROUND(F5*(1+$F$4),-1)</f>
        <v>148264700</v>
      </c>
      <c r="H5">
        <f>ROUND(G5*(1+$F$4),-1)</f>
        <v>152712640</v>
      </c>
      <c r="I5" s="173">
        <f>SUM(F5:H5)</f>
        <v>444923650</v>
      </c>
      <c r="J5">
        <f>ROUND(H5*(1+$J$4),-1)</f>
        <v>155766890</v>
      </c>
      <c r="K5">
        <f>ROUND(J5*(1+$J$4),-1)</f>
        <v>158882230</v>
      </c>
      <c r="L5">
        <f>ROUND(K5*(1+$J$4),-1)</f>
        <v>162059870</v>
      </c>
      <c r="M5" s="173">
        <f>SUM(J5:L5)</f>
        <v>476708990</v>
      </c>
      <c r="N5">
        <f>ROUND(L5*(1+$N$4),-1)</f>
        <v>166921670</v>
      </c>
      <c r="O5">
        <f>ROUND(N5*(1+$N$4),-1)</f>
        <v>171929320</v>
      </c>
      <c r="P5">
        <f>ROUND(O5*(1+$N$4),-1)</f>
        <v>177087200</v>
      </c>
      <c r="Q5" s="173">
        <f>SUM(N5:P5)</f>
        <v>515938190</v>
      </c>
      <c r="R5">
        <f>SUBTOTAL(9,E5,I5,M5,Q5)</f>
        <v>1852694530</v>
      </c>
    </row>
    <row r="6" spans="1:18" s="9" customFormat="1" ht="14.4" x14ac:dyDescent="0.3">
      <c r="A6" t="s">
        <v>51</v>
      </c>
      <c r="B6">
        <v>26700000</v>
      </c>
      <c r="C6">
        <f>ROUND(B6*(1+$B$4),-1)</f>
        <v>26967000</v>
      </c>
      <c r="D6">
        <f>ROUND(C6*(1+$B$4),-1)</f>
        <v>27236670</v>
      </c>
      <c r="E6" s="173">
        <f>SUM(B6:D6)</f>
        <v>80903670</v>
      </c>
      <c r="F6">
        <f>ROUND(D6*(1+$F$4),-1)</f>
        <v>28053770</v>
      </c>
      <c r="G6">
        <f>ROUND(F6*(1+$F$4),-1)</f>
        <v>28895380</v>
      </c>
      <c r="H6">
        <f>ROUND(G6*(1+$F$4),-1)</f>
        <v>29762240</v>
      </c>
      <c r="I6" s="173">
        <f>SUM(F6:H6)</f>
        <v>86711390</v>
      </c>
      <c r="J6">
        <f>ROUND(H6*(1+$J$4),-1)</f>
        <v>30357480</v>
      </c>
      <c r="K6">
        <f>ROUND(J6*(1+$J$4),-1)</f>
        <v>30964630</v>
      </c>
      <c r="L6">
        <f>ROUND(K6*(1+$J$4),-1)</f>
        <v>31583920</v>
      </c>
      <c r="M6" s="173">
        <f>SUM(J6:L6)</f>
        <v>92906030</v>
      </c>
      <c r="N6">
        <f>ROUND(L6*(1+$N$4),-1)</f>
        <v>32531440</v>
      </c>
      <c r="O6">
        <f>ROUND(N6*(1+$N$4),-1)</f>
        <v>33507380</v>
      </c>
      <c r="P6">
        <f>ROUND(O6*(1+$N$4),-1)</f>
        <v>34512600</v>
      </c>
      <c r="Q6" s="173">
        <f>SUM(N6:P6)</f>
        <v>100551420</v>
      </c>
      <c r="R6">
        <f>SUBTOTAL(9,E6,I6,M6,Q6)</f>
        <v>361072510</v>
      </c>
    </row>
    <row r="7" spans="1:18" s="179" customFormat="1" ht="14.4" x14ac:dyDescent="0.3">
      <c r="A7" s="177" t="s">
        <v>49</v>
      </c>
      <c r="B7" s="177">
        <f t="shared" ref="B7:R7" si="0">SUM(B5:B6)</f>
        <v>163700000</v>
      </c>
      <c r="C7" s="177">
        <f t="shared" si="0"/>
        <v>165337000</v>
      </c>
      <c r="D7" s="177">
        <f t="shared" si="0"/>
        <v>166990370</v>
      </c>
      <c r="E7" s="178">
        <f t="shared" si="0"/>
        <v>496027370</v>
      </c>
      <c r="F7" s="177">
        <f t="shared" si="0"/>
        <v>172000080</v>
      </c>
      <c r="G7" s="177">
        <f t="shared" si="0"/>
        <v>177160080</v>
      </c>
      <c r="H7" s="177">
        <f t="shared" si="0"/>
        <v>182474880</v>
      </c>
      <c r="I7" s="178">
        <f t="shared" si="0"/>
        <v>531635040</v>
      </c>
      <c r="J7" s="177">
        <f t="shared" si="0"/>
        <v>186124370</v>
      </c>
      <c r="K7" s="177">
        <f t="shared" si="0"/>
        <v>189846860</v>
      </c>
      <c r="L7" s="177">
        <f t="shared" si="0"/>
        <v>193643790</v>
      </c>
      <c r="M7" s="178">
        <f t="shared" si="0"/>
        <v>569615020</v>
      </c>
      <c r="N7" s="177">
        <f t="shared" si="0"/>
        <v>199453110</v>
      </c>
      <c r="O7" s="177">
        <f t="shared" si="0"/>
        <v>205436700</v>
      </c>
      <c r="P7" s="177">
        <f t="shared" si="0"/>
        <v>211599800</v>
      </c>
      <c r="Q7" s="178">
        <f t="shared" si="0"/>
        <v>616489610</v>
      </c>
      <c r="R7" s="177">
        <f t="shared" si="0"/>
        <v>2213767040</v>
      </c>
    </row>
    <row r="8" spans="1:18" s="9" customFormat="1" ht="18" x14ac:dyDescent="0.35">
      <c r="A8" s="170" t="s">
        <v>52</v>
      </c>
      <c r="B8"/>
      <c r="C8"/>
      <c r="D8"/>
      <c r="E8" s="173"/>
      <c r="F8"/>
      <c r="G8"/>
      <c r="H8"/>
      <c r="I8" s="173"/>
      <c r="J8"/>
      <c r="K8"/>
      <c r="L8"/>
      <c r="M8" s="173"/>
      <c r="N8"/>
      <c r="O8"/>
      <c r="P8"/>
      <c r="Q8" s="173"/>
      <c r="R8"/>
    </row>
    <row r="9" spans="1:18" s="9" customFormat="1" ht="14.4" x14ac:dyDescent="0.3">
      <c r="A9" t="s">
        <v>53</v>
      </c>
      <c r="B9">
        <v>76500000</v>
      </c>
      <c r="C9">
        <f t="shared" ref="C9:D11" si="1">ROUND(B9*(1+$B$4),-1)</f>
        <v>77265000</v>
      </c>
      <c r="D9">
        <f t="shared" si="1"/>
        <v>78037650</v>
      </c>
      <c r="E9" s="173">
        <f>SUM(B9:D9)</f>
        <v>231802650</v>
      </c>
      <c r="F9">
        <f>ROUND(D9*(1+$F$4),-1)</f>
        <v>80378780</v>
      </c>
      <c r="G9">
        <f t="shared" ref="G9:H11" si="2">ROUND(F9*(1+$F$4),-1)</f>
        <v>82790140</v>
      </c>
      <c r="H9">
        <f t="shared" si="2"/>
        <v>85273840</v>
      </c>
      <c r="I9" s="173">
        <f>SUM(F9:H9)</f>
        <v>248442760</v>
      </c>
      <c r="J9">
        <f>ROUND(H9*(1+$J$4),-1)</f>
        <v>86979320</v>
      </c>
      <c r="K9">
        <f t="shared" ref="K9:L11" si="3">ROUND(J9*(1+$J$4),-1)</f>
        <v>88718910</v>
      </c>
      <c r="L9">
        <f t="shared" si="3"/>
        <v>90493290</v>
      </c>
      <c r="M9" s="173">
        <f>SUM(J9:L9)</f>
        <v>266191520</v>
      </c>
      <c r="N9">
        <f>ROUND(L9*(1+$N$4),-1)</f>
        <v>93208090</v>
      </c>
      <c r="O9">
        <f t="shared" ref="O9:P11" si="4">ROUND(N9*(1+$N$4),-1)</f>
        <v>96004330</v>
      </c>
      <c r="P9">
        <f t="shared" si="4"/>
        <v>98884460</v>
      </c>
      <c r="Q9" s="173">
        <f>SUM(N9:P9)</f>
        <v>288096880</v>
      </c>
      <c r="R9">
        <f>SUBTOTAL(9,E9,I9,M9,Q9)</f>
        <v>1034533810</v>
      </c>
    </row>
    <row r="10" spans="1:18" s="9" customFormat="1" ht="14.4" x14ac:dyDescent="0.3">
      <c r="A10" t="s">
        <v>54</v>
      </c>
      <c r="B10">
        <v>1300000</v>
      </c>
      <c r="C10">
        <f t="shared" si="1"/>
        <v>1313000</v>
      </c>
      <c r="D10">
        <f t="shared" si="1"/>
        <v>1326130</v>
      </c>
      <c r="E10" s="173">
        <f>SUM(B10:D10)</f>
        <v>3939130</v>
      </c>
      <c r="F10">
        <f>ROUND(D10*(1+$F$4),-1)</f>
        <v>1365910</v>
      </c>
      <c r="G10">
        <f t="shared" si="2"/>
        <v>1406890</v>
      </c>
      <c r="H10">
        <f t="shared" si="2"/>
        <v>1449100</v>
      </c>
      <c r="I10" s="173">
        <f>SUM(F10:H10)</f>
        <v>4221900</v>
      </c>
      <c r="J10">
        <f>ROUND(H10*(1+$J$4),-1)</f>
        <v>1478080</v>
      </c>
      <c r="K10">
        <f t="shared" si="3"/>
        <v>1507640</v>
      </c>
      <c r="L10">
        <f t="shared" si="3"/>
        <v>1537790</v>
      </c>
      <c r="M10" s="173">
        <f>SUM(J10:L10)</f>
        <v>4523510</v>
      </c>
      <c r="N10">
        <f>ROUND(L10*(1+$N$4),-1)</f>
        <v>1583920</v>
      </c>
      <c r="O10">
        <f t="shared" si="4"/>
        <v>1631440</v>
      </c>
      <c r="P10">
        <f t="shared" si="4"/>
        <v>1680380</v>
      </c>
      <c r="Q10" s="173">
        <f>SUM(N10:P10)</f>
        <v>4895740</v>
      </c>
      <c r="R10">
        <f>SUBTOTAL(9,E10,I10,M10,Q10)</f>
        <v>17580280</v>
      </c>
    </row>
    <row r="11" spans="1:18" s="9" customFormat="1" ht="14.4" x14ac:dyDescent="0.3">
      <c r="A11" t="s">
        <v>55</v>
      </c>
      <c r="B11">
        <v>500000</v>
      </c>
      <c r="C11">
        <f t="shared" si="1"/>
        <v>505000</v>
      </c>
      <c r="D11">
        <f t="shared" si="1"/>
        <v>510050</v>
      </c>
      <c r="E11" s="173">
        <f>SUM(B11:D11)</f>
        <v>1515050</v>
      </c>
      <c r="F11">
        <f>ROUND(D11*(1+$F$4),-1)</f>
        <v>525350</v>
      </c>
      <c r="G11">
        <f t="shared" si="2"/>
        <v>541110</v>
      </c>
      <c r="H11">
        <f t="shared" si="2"/>
        <v>557340</v>
      </c>
      <c r="I11" s="173">
        <f>SUM(F11:H11)</f>
        <v>1623800</v>
      </c>
      <c r="J11">
        <f>ROUND(H11*(1+$J$4),-1)</f>
        <v>568490</v>
      </c>
      <c r="K11">
        <f t="shared" si="3"/>
        <v>579860</v>
      </c>
      <c r="L11">
        <f t="shared" si="3"/>
        <v>591460</v>
      </c>
      <c r="M11" s="173">
        <f>SUM(J11:L11)</f>
        <v>1739810</v>
      </c>
      <c r="N11">
        <f>ROUND(L11*(1+$N$4),-1)</f>
        <v>609200</v>
      </c>
      <c r="O11">
        <f t="shared" si="4"/>
        <v>627480</v>
      </c>
      <c r="P11">
        <f t="shared" si="4"/>
        <v>646300</v>
      </c>
      <c r="Q11" s="173">
        <f>SUM(N11:P11)</f>
        <v>1882980</v>
      </c>
      <c r="R11">
        <f>SUBTOTAL(9,E11,I11,M11,Q11)</f>
        <v>6761640</v>
      </c>
    </row>
    <row r="12" spans="1:18" s="9" customFormat="1" ht="14.4" x14ac:dyDescent="0.3">
      <c r="A12" t="s">
        <v>56</v>
      </c>
      <c r="B12">
        <f t="shared" ref="B12:R12" si="5">SUM(B9:B11)</f>
        <v>78300000</v>
      </c>
      <c r="C12">
        <f t="shared" si="5"/>
        <v>79083000</v>
      </c>
      <c r="D12">
        <f t="shared" si="5"/>
        <v>79873830</v>
      </c>
      <c r="E12" s="173">
        <f t="shared" si="5"/>
        <v>237256830</v>
      </c>
      <c r="F12">
        <f t="shared" si="5"/>
        <v>82270040</v>
      </c>
      <c r="G12">
        <f t="shared" si="5"/>
        <v>84738140</v>
      </c>
      <c r="H12">
        <f t="shared" si="5"/>
        <v>87280280</v>
      </c>
      <c r="I12" s="173">
        <f t="shared" si="5"/>
        <v>254288460</v>
      </c>
      <c r="J12">
        <f t="shared" si="5"/>
        <v>89025890</v>
      </c>
      <c r="K12">
        <f t="shared" si="5"/>
        <v>90806410</v>
      </c>
      <c r="L12">
        <f t="shared" si="5"/>
        <v>92622540</v>
      </c>
      <c r="M12" s="173">
        <f t="shared" si="5"/>
        <v>272454840</v>
      </c>
      <c r="N12">
        <f t="shared" si="5"/>
        <v>95401210</v>
      </c>
      <c r="O12">
        <f t="shared" si="5"/>
        <v>98263250</v>
      </c>
      <c r="P12">
        <f t="shared" si="5"/>
        <v>101211140</v>
      </c>
      <c r="Q12" s="173">
        <f t="shared" si="5"/>
        <v>294875600</v>
      </c>
      <c r="R12">
        <f t="shared" si="5"/>
        <v>1058875730</v>
      </c>
    </row>
    <row r="13" spans="1:18" s="179" customFormat="1" ht="14.4" x14ac:dyDescent="0.3">
      <c r="A13" s="177" t="s">
        <v>57</v>
      </c>
      <c r="B13" s="177">
        <f t="shared" ref="B13:R13" si="6">B7-B12</f>
        <v>85400000</v>
      </c>
      <c r="C13" s="177">
        <f t="shared" si="6"/>
        <v>86254000</v>
      </c>
      <c r="D13" s="177">
        <f t="shared" si="6"/>
        <v>87116540</v>
      </c>
      <c r="E13" s="178">
        <f t="shared" si="6"/>
        <v>258770540</v>
      </c>
      <c r="F13" s="177">
        <f t="shared" si="6"/>
        <v>89730040</v>
      </c>
      <c r="G13" s="177">
        <f t="shared" si="6"/>
        <v>92421940</v>
      </c>
      <c r="H13" s="177">
        <f t="shared" si="6"/>
        <v>95194600</v>
      </c>
      <c r="I13" s="178">
        <f t="shared" si="6"/>
        <v>277346580</v>
      </c>
      <c r="J13" s="177">
        <f t="shared" si="6"/>
        <v>97098480</v>
      </c>
      <c r="K13" s="177">
        <f t="shared" si="6"/>
        <v>99040450</v>
      </c>
      <c r="L13" s="177">
        <f t="shared" si="6"/>
        <v>101021250</v>
      </c>
      <c r="M13" s="178">
        <f t="shared" si="6"/>
        <v>297160180</v>
      </c>
      <c r="N13" s="177">
        <f t="shared" si="6"/>
        <v>104051900</v>
      </c>
      <c r="O13" s="177">
        <f t="shared" si="6"/>
        <v>107173450</v>
      </c>
      <c r="P13" s="177">
        <f t="shared" si="6"/>
        <v>110388660</v>
      </c>
      <c r="Q13" s="178">
        <f t="shared" si="6"/>
        <v>321614010</v>
      </c>
      <c r="R13" s="177">
        <f t="shared" si="6"/>
        <v>1154891310</v>
      </c>
    </row>
    <row r="14" spans="1:18" s="9" customFormat="1" ht="18" x14ac:dyDescent="0.35">
      <c r="A14" s="170" t="s">
        <v>58</v>
      </c>
      <c r="B14"/>
      <c r="C14"/>
      <c r="D14"/>
      <c r="E14" s="173"/>
      <c r="F14"/>
      <c r="G14"/>
      <c r="H14"/>
      <c r="I14" s="173"/>
      <c r="J14"/>
      <c r="K14"/>
      <c r="L14"/>
      <c r="M14" s="173"/>
      <c r="N14"/>
      <c r="O14"/>
      <c r="P14"/>
      <c r="Q14" s="173"/>
      <c r="R14"/>
    </row>
    <row r="15" spans="1:18" s="9" customFormat="1" ht="14.4" x14ac:dyDescent="0.3">
      <c r="A15" t="s">
        <v>59</v>
      </c>
      <c r="B15">
        <v>18400000</v>
      </c>
      <c r="C15">
        <f t="shared" ref="C15:D30" si="7">ROUND(B15*(1+$B$4),-1)</f>
        <v>18584000</v>
      </c>
      <c r="D15">
        <f t="shared" si="7"/>
        <v>18769840</v>
      </c>
      <c r="E15" s="173">
        <f t="shared" ref="E15:E30" si="8">SUM(B15:D15)</f>
        <v>55753840</v>
      </c>
      <c r="F15">
        <f t="shared" ref="F15:F30" si="9">ROUND(D15*(1+$F$4),-1)</f>
        <v>19332940</v>
      </c>
      <c r="G15">
        <f t="shared" ref="G15:H30" si="10">ROUND(F15*(1+$F$4),-1)</f>
        <v>19912930</v>
      </c>
      <c r="H15">
        <f t="shared" si="10"/>
        <v>20510320</v>
      </c>
      <c r="I15" s="173">
        <f t="shared" ref="I15:I30" si="11">SUM(F15:H15)</f>
        <v>59756190</v>
      </c>
      <c r="J15">
        <f t="shared" ref="J15:J30" si="12">ROUND(H15*(1+$J$4),-1)</f>
        <v>20920530</v>
      </c>
      <c r="K15">
        <f t="shared" ref="K15:L30" si="13">ROUND(J15*(1+$J$4),-1)</f>
        <v>21338940</v>
      </c>
      <c r="L15">
        <f t="shared" si="13"/>
        <v>21765720</v>
      </c>
      <c r="M15" s="173">
        <f t="shared" ref="M15:M30" si="14">SUM(J15:L15)</f>
        <v>64025190</v>
      </c>
      <c r="N15">
        <f t="shared" ref="N15:N30" si="15">ROUND(L15*(1+$N$4),-1)</f>
        <v>22418690</v>
      </c>
      <c r="O15">
        <f t="shared" ref="O15:P30" si="16">ROUND(N15*(1+$N$4),-1)</f>
        <v>23091250</v>
      </c>
      <c r="P15">
        <f t="shared" si="16"/>
        <v>23783990</v>
      </c>
      <c r="Q15" s="173">
        <f t="shared" ref="Q15:Q30" si="17">SUM(N15:P15)</f>
        <v>69293930</v>
      </c>
      <c r="R15">
        <f t="shared" ref="R15:R30" si="18">SUBTOTAL(9,E15,I15,M15,Q15)</f>
        <v>248829150</v>
      </c>
    </row>
    <row r="16" spans="1:18" s="9" customFormat="1" ht="14.4" x14ac:dyDescent="0.3">
      <c r="A16" t="s">
        <v>60</v>
      </c>
      <c r="B16">
        <v>175000</v>
      </c>
      <c r="C16">
        <f t="shared" si="7"/>
        <v>176750</v>
      </c>
      <c r="D16">
        <f t="shared" si="7"/>
        <v>178520</v>
      </c>
      <c r="E16" s="173">
        <f t="shared" si="8"/>
        <v>530270</v>
      </c>
      <c r="F16">
        <f t="shared" si="9"/>
        <v>183880</v>
      </c>
      <c r="G16">
        <f t="shared" si="10"/>
        <v>189400</v>
      </c>
      <c r="H16">
        <f t="shared" si="10"/>
        <v>195080</v>
      </c>
      <c r="I16" s="173">
        <f t="shared" si="11"/>
        <v>568360</v>
      </c>
      <c r="J16">
        <f t="shared" si="12"/>
        <v>198980</v>
      </c>
      <c r="K16">
        <f t="shared" si="13"/>
        <v>202960</v>
      </c>
      <c r="L16">
        <f t="shared" si="13"/>
        <v>207020</v>
      </c>
      <c r="M16" s="173">
        <f t="shared" si="14"/>
        <v>608960</v>
      </c>
      <c r="N16">
        <f t="shared" si="15"/>
        <v>213230</v>
      </c>
      <c r="O16">
        <f t="shared" si="16"/>
        <v>219630</v>
      </c>
      <c r="P16">
        <f t="shared" si="16"/>
        <v>226220</v>
      </c>
      <c r="Q16" s="173">
        <f t="shared" si="17"/>
        <v>659080</v>
      </c>
      <c r="R16">
        <f t="shared" si="18"/>
        <v>2366670</v>
      </c>
    </row>
    <row r="17" spans="1:18" s="9" customFormat="1" ht="14.4" x14ac:dyDescent="0.3">
      <c r="A17" t="s">
        <v>61</v>
      </c>
      <c r="B17">
        <v>200000</v>
      </c>
      <c r="C17">
        <f t="shared" si="7"/>
        <v>202000</v>
      </c>
      <c r="D17">
        <f t="shared" si="7"/>
        <v>204020</v>
      </c>
      <c r="E17" s="173">
        <f t="shared" si="8"/>
        <v>606020</v>
      </c>
      <c r="F17">
        <f t="shared" si="9"/>
        <v>210140</v>
      </c>
      <c r="G17">
        <f t="shared" si="10"/>
        <v>216440</v>
      </c>
      <c r="H17">
        <f t="shared" si="10"/>
        <v>222930</v>
      </c>
      <c r="I17" s="173">
        <f t="shared" si="11"/>
        <v>649510</v>
      </c>
      <c r="J17">
        <f t="shared" si="12"/>
        <v>227390</v>
      </c>
      <c r="K17">
        <f t="shared" si="13"/>
        <v>231940</v>
      </c>
      <c r="L17">
        <f t="shared" si="13"/>
        <v>236580</v>
      </c>
      <c r="M17" s="173">
        <f t="shared" si="14"/>
        <v>695910</v>
      </c>
      <c r="N17">
        <f t="shared" si="15"/>
        <v>243680</v>
      </c>
      <c r="O17">
        <f t="shared" si="16"/>
        <v>250990</v>
      </c>
      <c r="P17">
        <f t="shared" si="16"/>
        <v>258520</v>
      </c>
      <c r="Q17" s="173">
        <f t="shared" si="17"/>
        <v>753190</v>
      </c>
      <c r="R17">
        <f t="shared" si="18"/>
        <v>2704630</v>
      </c>
    </row>
    <row r="18" spans="1:18" s="9" customFormat="1" ht="14.4" x14ac:dyDescent="0.3">
      <c r="A18" t="s">
        <v>62</v>
      </c>
      <c r="B18">
        <v>162000</v>
      </c>
      <c r="C18">
        <f t="shared" si="7"/>
        <v>163620</v>
      </c>
      <c r="D18">
        <f t="shared" si="7"/>
        <v>165260</v>
      </c>
      <c r="E18" s="173">
        <f t="shared" si="8"/>
        <v>490880</v>
      </c>
      <c r="F18">
        <f t="shared" si="9"/>
        <v>170220</v>
      </c>
      <c r="G18">
        <f t="shared" si="10"/>
        <v>175330</v>
      </c>
      <c r="H18">
        <f t="shared" si="10"/>
        <v>180590</v>
      </c>
      <c r="I18" s="173">
        <f t="shared" si="11"/>
        <v>526140</v>
      </c>
      <c r="J18">
        <f t="shared" si="12"/>
        <v>184200</v>
      </c>
      <c r="K18">
        <f t="shared" si="13"/>
        <v>187880</v>
      </c>
      <c r="L18">
        <f t="shared" si="13"/>
        <v>191640</v>
      </c>
      <c r="M18" s="173">
        <f t="shared" si="14"/>
        <v>563720</v>
      </c>
      <c r="N18">
        <f t="shared" si="15"/>
        <v>197390</v>
      </c>
      <c r="O18">
        <f t="shared" si="16"/>
        <v>203310</v>
      </c>
      <c r="P18">
        <f t="shared" si="16"/>
        <v>209410</v>
      </c>
      <c r="Q18" s="173">
        <f t="shared" si="17"/>
        <v>610110</v>
      </c>
      <c r="R18">
        <f t="shared" si="18"/>
        <v>2190850</v>
      </c>
    </row>
    <row r="19" spans="1:18" s="9" customFormat="1" ht="14.4" x14ac:dyDescent="0.3">
      <c r="A19" t="s">
        <v>63</v>
      </c>
      <c r="B19">
        <v>200000</v>
      </c>
      <c r="C19">
        <f t="shared" si="7"/>
        <v>202000</v>
      </c>
      <c r="D19">
        <f t="shared" si="7"/>
        <v>204020</v>
      </c>
      <c r="E19" s="173">
        <f t="shared" si="8"/>
        <v>606020</v>
      </c>
      <c r="F19">
        <f t="shared" si="9"/>
        <v>210140</v>
      </c>
      <c r="G19">
        <f t="shared" si="10"/>
        <v>216440</v>
      </c>
      <c r="H19">
        <f t="shared" si="10"/>
        <v>222930</v>
      </c>
      <c r="I19" s="173">
        <f t="shared" si="11"/>
        <v>649510</v>
      </c>
      <c r="J19">
        <f t="shared" si="12"/>
        <v>227390</v>
      </c>
      <c r="K19">
        <f t="shared" si="13"/>
        <v>231940</v>
      </c>
      <c r="L19">
        <f t="shared" si="13"/>
        <v>236580</v>
      </c>
      <c r="M19" s="173">
        <f t="shared" si="14"/>
        <v>695910</v>
      </c>
      <c r="N19">
        <f t="shared" si="15"/>
        <v>243680</v>
      </c>
      <c r="O19">
        <f t="shared" si="16"/>
        <v>250990</v>
      </c>
      <c r="P19">
        <f t="shared" si="16"/>
        <v>258520</v>
      </c>
      <c r="Q19" s="173">
        <f t="shared" si="17"/>
        <v>753190</v>
      </c>
      <c r="R19">
        <f t="shared" si="18"/>
        <v>2704630</v>
      </c>
    </row>
    <row r="20" spans="1:18" s="9" customFormat="1" ht="14.4" x14ac:dyDescent="0.3">
      <c r="A20" t="s">
        <v>64</v>
      </c>
      <c r="B20">
        <v>3800000</v>
      </c>
      <c r="C20">
        <f t="shared" si="7"/>
        <v>3838000</v>
      </c>
      <c r="D20">
        <f t="shared" si="7"/>
        <v>3876380</v>
      </c>
      <c r="E20" s="173">
        <f t="shared" si="8"/>
        <v>11514380</v>
      </c>
      <c r="F20">
        <f t="shared" si="9"/>
        <v>3992670</v>
      </c>
      <c r="G20">
        <f t="shared" si="10"/>
        <v>4112450</v>
      </c>
      <c r="H20">
        <f t="shared" si="10"/>
        <v>4235820</v>
      </c>
      <c r="I20" s="173">
        <f t="shared" si="11"/>
        <v>12340940</v>
      </c>
      <c r="J20">
        <f t="shared" si="12"/>
        <v>4320540</v>
      </c>
      <c r="K20">
        <f t="shared" si="13"/>
        <v>4406950</v>
      </c>
      <c r="L20">
        <f t="shared" si="13"/>
        <v>4495090</v>
      </c>
      <c r="M20" s="173">
        <f t="shared" si="14"/>
        <v>13222580</v>
      </c>
      <c r="N20">
        <f t="shared" si="15"/>
        <v>4629940</v>
      </c>
      <c r="O20">
        <f t="shared" si="16"/>
        <v>4768840</v>
      </c>
      <c r="P20">
        <f t="shared" si="16"/>
        <v>4911910</v>
      </c>
      <c r="Q20" s="173">
        <f t="shared" si="17"/>
        <v>14310690</v>
      </c>
      <c r="R20">
        <f t="shared" si="18"/>
        <v>51388590</v>
      </c>
    </row>
    <row r="21" spans="1:18" s="9" customFormat="1" ht="14.4" x14ac:dyDescent="0.3">
      <c r="A21" t="s">
        <v>65</v>
      </c>
      <c r="B21">
        <v>300000</v>
      </c>
      <c r="C21">
        <f t="shared" si="7"/>
        <v>303000</v>
      </c>
      <c r="D21">
        <f t="shared" si="7"/>
        <v>306030</v>
      </c>
      <c r="E21" s="173">
        <f t="shared" si="8"/>
        <v>909030</v>
      </c>
      <c r="F21">
        <f t="shared" si="9"/>
        <v>315210</v>
      </c>
      <c r="G21">
        <f t="shared" si="10"/>
        <v>324670</v>
      </c>
      <c r="H21">
        <f t="shared" si="10"/>
        <v>334410</v>
      </c>
      <c r="I21" s="173">
        <f t="shared" si="11"/>
        <v>974290</v>
      </c>
      <c r="J21">
        <f t="shared" si="12"/>
        <v>341100</v>
      </c>
      <c r="K21">
        <f t="shared" si="13"/>
        <v>347920</v>
      </c>
      <c r="L21">
        <f t="shared" si="13"/>
        <v>354880</v>
      </c>
      <c r="M21" s="173">
        <f t="shared" si="14"/>
        <v>1043900</v>
      </c>
      <c r="N21">
        <f t="shared" si="15"/>
        <v>365530</v>
      </c>
      <c r="O21">
        <f t="shared" si="16"/>
        <v>376500</v>
      </c>
      <c r="P21">
        <f t="shared" si="16"/>
        <v>387800</v>
      </c>
      <c r="Q21" s="173">
        <f t="shared" si="17"/>
        <v>1129830</v>
      </c>
      <c r="R21">
        <f t="shared" si="18"/>
        <v>4057050</v>
      </c>
    </row>
    <row r="22" spans="1:18" s="9" customFormat="1" ht="14.4" x14ac:dyDescent="0.3">
      <c r="A22" t="s">
        <v>66</v>
      </c>
      <c r="B22">
        <v>700000</v>
      </c>
      <c r="C22">
        <f t="shared" si="7"/>
        <v>707000</v>
      </c>
      <c r="D22">
        <f t="shared" si="7"/>
        <v>714070</v>
      </c>
      <c r="E22" s="173">
        <f t="shared" si="8"/>
        <v>2121070</v>
      </c>
      <c r="F22">
        <f t="shared" si="9"/>
        <v>735490</v>
      </c>
      <c r="G22">
        <f t="shared" si="10"/>
        <v>757550</v>
      </c>
      <c r="H22">
        <f t="shared" si="10"/>
        <v>780280</v>
      </c>
      <c r="I22" s="173">
        <f t="shared" si="11"/>
        <v>2273320</v>
      </c>
      <c r="J22">
        <f t="shared" si="12"/>
        <v>795890</v>
      </c>
      <c r="K22">
        <f t="shared" si="13"/>
        <v>811810</v>
      </c>
      <c r="L22">
        <f t="shared" si="13"/>
        <v>828050</v>
      </c>
      <c r="M22" s="173">
        <f t="shared" si="14"/>
        <v>2435750</v>
      </c>
      <c r="N22">
        <f t="shared" si="15"/>
        <v>852890</v>
      </c>
      <c r="O22">
        <f t="shared" si="16"/>
        <v>878480</v>
      </c>
      <c r="P22">
        <f t="shared" si="16"/>
        <v>904830</v>
      </c>
      <c r="Q22" s="173">
        <f t="shared" si="17"/>
        <v>2636200</v>
      </c>
      <c r="R22">
        <f t="shared" si="18"/>
        <v>9466340</v>
      </c>
    </row>
    <row r="23" spans="1:18" s="9" customFormat="1" ht="14.4" x14ac:dyDescent="0.3">
      <c r="A23" t="s">
        <v>67</v>
      </c>
      <c r="B23">
        <v>2300000</v>
      </c>
      <c r="C23">
        <f t="shared" si="7"/>
        <v>2323000</v>
      </c>
      <c r="D23">
        <f t="shared" si="7"/>
        <v>2346230</v>
      </c>
      <c r="E23" s="173">
        <f t="shared" si="8"/>
        <v>6969230</v>
      </c>
      <c r="F23">
        <f t="shared" si="9"/>
        <v>2416620</v>
      </c>
      <c r="G23">
        <f t="shared" si="10"/>
        <v>2489120</v>
      </c>
      <c r="H23">
        <f t="shared" si="10"/>
        <v>2563790</v>
      </c>
      <c r="I23" s="173">
        <f t="shared" si="11"/>
        <v>7469530</v>
      </c>
      <c r="J23">
        <f t="shared" si="12"/>
        <v>2615070</v>
      </c>
      <c r="K23">
        <f t="shared" si="13"/>
        <v>2667370</v>
      </c>
      <c r="L23">
        <f t="shared" si="13"/>
        <v>2720720</v>
      </c>
      <c r="M23" s="173">
        <f t="shared" si="14"/>
        <v>8003160</v>
      </c>
      <c r="N23">
        <f t="shared" si="15"/>
        <v>2802340</v>
      </c>
      <c r="O23">
        <f t="shared" si="16"/>
        <v>2886410</v>
      </c>
      <c r="P23">
        <f t="shared" si="16"/>
        <v>2973000</v>
      </c>
      <c r="Q23" s="173">
        <f t="shared" si="17"/>
        <v>8661750</v>
      </c>
      <c r="R23">
        <f t="shared" si="18"/>
        <v>31103670</v>
      </c>
    </row>
    <row r="24" spans="1:18" s="9" customFormat="1" ht="14.4" x14ac:dyDescent="0.3">
      <c r="A24" t="s">
        <v>68</v>
      </c>
      <c r="B24">
        <v>21600000</v>
      </c>
      <c r="C24">
        <f t="shared" si="7"/>
        <v>21816000</v>
      </c>
      <c r="D24">
        <f t="shared" si="7"/>
        <v>22034160</v>
      </c>
      <c r="E24" s="173">
        <f t="shared" si="8"/>
        <v>65450160</v>
      </c>
      <c r="F24">
        <f t="shared" si="9"/>
        <v>22695180</v>
      </c>
      <c r="G24">
        <f t="shared" si="10"/>
        <v>23376040</v>
      </c>
      <c r="H24">
        <f t="shared" si="10"/>
        <v>24077320</v>
      </c>
      <c r="I24" s="173">
        <f t="shared" si="11"/>
        <v>70148540</v>
      </c>
      <c r="J24">
        <f t="shared" si="12"/>
        <v>24558870</v>
      </c>
      <c r="K24">
        <f t="shared" si="13"/>
        <v>25050050</v>
      </c>
      <c r="L24">
        <f t="shared" si="13"/>
        <v>25551050</v>
      </c>
      <c r="M24" s="173">
        <f t="shared" si="14"/>
        <v>75159970</v>
      </c>
      <c r="N24">
        <f t="shared" si="15"/>
        <v>26317580</v>
      </c>
      <c r="O24">
        <f t="shared" si="16"/>
        <v>27107110</v>
      </c>
      <c r="P24">
        <f t="shared" si="16"/>
        <v>27920320</v>
      </c>
      <c r="Q24" s="173">
        <f t="shared" si="17"/>
        <v>81345010</v>
      </c>
      <c r="R24">
        <f t="shared" si="18"/>
        <v>292103680</v>
      </c>
    </row>
    <row r="25" spans="1:18" s="9" customFormat="1" ht="14.4" x14ac:dyDescent="0.3">
      <c r="A25" t="s">
        <v>69</v>
      </c>
      <c r="B25">
        <v>1100000</v>
      </c>
      <c r="C25">
        <f t="shared" si="7"/>
        <v>1111000</v>
      </c>
      <c r="D25">
        <f t="shared" si="7"/>
        <v>1122110</v>
      </c>
      <c r="E25" s="173">
        <f t="shared" si="8"/>
        <v>3333110</v>
      </c>
      <c r="F25">
        <f t="shared" si="9"/>
        <v>1155770</v>
      </c>
      <c r="G25">
        <f t="shared" si="10"/>
        <v>1190440</v>
      </c>
      <c r="H25">
        <f t="shared" si="10"/>
        <v>1226150</v>
      </c>
      <c r="I25" s="173">
        <f t="shared" si="11"/>
        <v>3572360</v>
      </c>
      <c r="J25">
        <f t="shared" si="12"/>
        <v>1250670</v>
      </c>
      <c r="K25">
        <f t="shared" si="13"/>
        <v>1275680</v>
      </c>
      <c r="L25">
        <f t="shared" si="13"/>
        <v>1301190</v>
      </c>
      <c r="M25" s="173">
        <f t="shared" si="14"/>
        <v>3827540</v>
      </c>
      <c r="N25">
        <f t="shared" si="15"/>
        <v>1340230</v>
      </c>
      <c r="O25">
        <f t="shared" si="16"/>
        <v>1380440</v>
      </c>
      <c r="P25">
        <f t="shared" si="16"/>
        <v>1421850</v>
      </c>
      <c r="Q25" s="173">
        <f t="shared" si="17"/>
        <v>4142520</v>
      </c>
      <c r="R25">
        <f t="shared" si="18"/>
        <v>14875530</v>
      </c>
    </row>
    <row r="26" spans="1:18" s="9" customFormat="1" ht="14.4" x14ac:dyDescent="0.3">
      <c r="A26" t="s">
        <v>70</v>
      </c>
      <c r="B26">
        <v>1300000</v>
      </c>
      <c r="C26">
        <f t="shared" si="7"/>
        <v>1313000</v>
      </c>
      <c r="D26">
        <f t="shared" si="7"/>
        <v>1326130</v>
      </c>
      <c r="E26" s="173">
        <f t="shared" si="8"/>
        <v>3939130</v>
      </c>
      <c r="F26">
        <f t="shared" si="9"/>
        <v>1365910</v>
      </c>
      <c r="G26">
        <f t="shared" si="10"/>
        <v>1406890</v>
      </c>
      <c r="H26">
        <f t="shared" si="10"/>
        <v>1449100</v>
      </c>
      <c r="I26" s="173">
        <f t="shared" si="11"/>
        <v>4221900</v>
      </c>
      <c r="J26">
        <f t="shared" si="12"/>
        <v>1478080</v>
      </c>
      <c r="K26">
        <f t="shared" si="13"/>
        <v>1507640</v>
      </c>
      <c r="L26">
        <f t="shared" si="13"/>
        <v>1537790</v>
      </c>
      <c r="M26" s="173">
        <f t="shared" si="14"/>
        <v>4523510</v>
      </c>
      <c r="N26">
        <f t="shared" si="15"/>
        <v>1583920</v>
      </c>
      <c r="O26">
        <f t="shared" si="16"/>
        <v>1631440</v>
      </c>
      <c r="P26">
        <f t="shared" si="16"/>
        <v>1680380</v>
      </c>
      <c r="Q26" s="173">
        <f t="shared" si="17"/>
        <v>4895740</v>
      </c>
      <c r="R26">
        <f t="shared" si="18"/>
        <v>17580280</v>
      </c>
    </row>
    <row r="27" spans="1:18" s="9" customFormat="1" ht="14.4" x14ac:dyDescent="0.3">
      <c r="A27" t="s">
        <v>71</v>
      </c>
      <c r="B27">
        <v>500000</v>
      </c>
      <c r="C27">
        <f t="shared" si="7"/>
        <v>505000</v>
      </c>
      <c r="D27">
        <f t="shared" si="7"/>
        <v>510050</v>
      </c>
      <c r="E27" s="173">
        <f t="shared" si="8"/>
        <v>1515050</v>
      </c>
      <c r="F27">
        <f t="shared" si="9"/>
        <v>525350</v>
      </c>
      <c r="G27">
        <f t="shared" si="10"/>
        <v>541110</v>
      </c>
      <c r="H27">
        <f t="shared" si="10"/>
        <v>557340</v>
      </c>
      <c r="I27" s="173">
        <f t="shared" si="11"/>
        <v>1623800</v>
      </c>
      <c r="J27">
        <f t="shared" si="12"/>
        <v>568490</v>
      </c>
      <c r="K27">
        <f t="shared" si="13"/>
        <v>579860</v>
      </c>
      <c r="L27">
        <f t="shared" si="13"/>
        <v>591460</v>
      </c>
      <c r="M27" s="173">
        <f t="shared" si="14"/>
        <v>1739810</v>
      </c>
      <c r="N27">
        <f t="shared" si="15"/>
        <v>609200</v>
      </c>
      <c r="O27">
        <f t="shared" si="16"/>
        <v>627480</v>
      </c>
      <c r="P27">
        <f t="shared" si="16"/>
        <v>646300</v>
      </c>
      <c r="Q27" s="173">
        <f t="shared" si="17"/>
        <v>1882980</v>
      </c>
      <c r="R27">
        <f t="shared" si="18"/>
        <v>6761640</v>
      </c>
    </row>
    <row r="28" spans="1:18" s="9" customFormat="1" ht="14.4" x14ac:dyDescent="0.3">
      <c r="A28" t="s">
        <v>72</v>
      </c>
      <c r="B28">
        <v>900000</v>
      </c>
      <c r="C28">
        <f t="shared" si="7"/>
        <v>909000</v>
      </c>
      <c r="D28">
        <f t="shared" si="7"/>
        <v>918090</v>
      </c>
      <c r="E28" s="173">
        <f t="shared" si="8"/>
        <v>2727090</v>
      </c>
      <c r="F28">
        <f t="shared" si="9"/>
        <v>945630</v>
      </c>
      <c r="G28">
        <f t="shared" si="10"/>
        <v>974000</v>
      </c>
      <c r="H28">
        <f t="shared" si="10"/>
        <v>1003220</v>
      </c>
      <c r="I28" s="173">
        <f t="shared" si="11"/>
        <v>2922850</v>
      </c>
      <c r="J28">
        <f t="shared" si="12"/>
        <v>1023280</v>
      </c>
      <c r="K28">
        <f t="shared" si="13"/>
        <v>1043750</v>
      </c>
      <c r="L28">
        <f t="shared" si="13"/>
        <v>1064630</v>
      </c>
      <c r="M28" s="173">
        <f t="shared" si="14"/>
        <v>3131660</v>
      </c>
      <c r="N28">
        <f t="shared" si="15"/>
        <v>1096570</v>
      </c>
      <c r="O28">
        <f t="shared" si="16"/>
        <v>1129470</v>
      </c>
      <c r="P28">
        <f t="shared" si="16"/>
        <v>1163350</v>
      </c>
      <c r="Q28" s="173">
        <f t="shared" si="17"/>
        <v>3389390</v>
      </c>
      <c r="R28">
        <f t="shared" si="18"/>
        <v>12170990</v>
      </c>
    </row>
    <row r="29" spans="1:18" s="9" customFormat="1" ht="14.4" x14ac:dyDescent="0.3">
      <c r="A29" t="s">
        <v>73</v>
      </c>
      <c r="B29">
        <v>300000</v>
      </c>
      <c r="C29">
        <f t="shared" si="7"/>
        <v>303000</v>
      </c>
      <c r="D29">
        <f t="shared" si="7"/>
        <v>306030</v>
      </c>
      <c r="E29" s="173">
        <f t="shared" si="8"/>
        <v>909030</v>
      </c>
      <c r="F29">
        <f t="shared" si="9"/>
        <v>315210</v>
      </c>
      <c r="G29">
        <f t="shared" si="10"/>
        <v>324670</v>
      </c>
      <c r="H29">
        <f t="shared" si="10"/>
        <v>334410</v>
      </c>
      <c r="I29" s="173">
        <f t="shared" si="11"/>
        <v>974290</v>
      </c>
      <c r="J29">
        <f t="shared" si="12"/>
        <v>341100</v>
      </c>
      <c r="K29">
        <f t="shared" si="13"/>
        <v>347920</v>
      </c>
      <c r="L29">
        <f t="shared" si="13"/>
        <v>354880</v>
      </c>
      <c r="M29" s="173">
        <f t="shared" si="14"/>
        <v>1043900</v>
      </c>
      <c r="N29">
        <f t="shared" si="15"/>
        <v>365530</v>
      </c>
      <c r="O29">
        <f t="shared" si="16"/>
        <v>376500</v>
      </c>
      <c r="P29">
        <f t="shared" si="16"/>
        <v>387800</v>
      </c>
      <c r="Q29" s="173">
        <f t="shared" si="17"/>
        <v>1129830</v>
      </c>
      <c r="R29">
        <f t="shared" si="18"/>
        <v>4057050</v>
      </c>
    </row>
    <row r="30" spans="1:18" s="9" customFormat="1" ht="14.4" x14ac:dyDescent="0.3">
      <c r="A30" t="s">
        <v>74</v>
      </c>
      <c r="B30">
        <v>165000</v>
      </c>
      <c r="C30">
        <f t="shared" si="7"/>
        <v>166650</v>
      </c>
      <c r="D30">
        <f t="shared" si="7"/>
        <v>168320</v>
      </c>
      <c r="E30" s="173">
        <f t="shared" si="8"/>
        <v>499970</v>
      </c>
      <c r="F30">
        <f t="shared" si="9"/>
        <v>173370</v>
      </c>
      <c r="G30">
        <f t="shared" si="10"/>
        <v>178570</v>
      </c>
      <c r="H30">
        <f t="shared" si="10"/>
        <v>183930</v>
      </c>
      <c r="I30" s="173">
        <f t="shared" si="11"/>
        <v>535870</v>
      </c>
      <c r="J30">
        <f t="shared" si="12"/>
        <v>187610</v>
      </c>
      <c r="K30">
        <f t="shared" si="13"/>
        <v>191360</v>
      </c>
      <c r="L30">
        <f t="shared" si="13"/>
        <v>195190</v>
      </c>
      <c r="M30" s="173">
        <f t="shared" si="14"/>
        <v>574160</v>
      </c>
      <c r="N30">
        <f t="shared" si="15"/>
        <v>201050</v>
      </c>
      <c r="O30">
        <f t="shared" si="16"/>
        <v>207080</v>
      </c>
      <c r="P30">
        <f t="shared" si="16"/>
        <v>213290</v>
      </c>
      <c r="Q30" s="173">
        <f t="shared" si="17"/>
        <v>621420</v>
      </c>
      <c r="R30">
        <f t="shared" si="18"/>
        <v>2231420</v>
      </c>
    </row>
    <row r="31" spans="1:18" s="179" customFormat="1" ht="14.4" x14ac:dyDescent="0.3">
      <c r="A31" s="177" t="s">
        <v>75</v>
      </c>
      <c r="B31" s="177">
        <f t="shared" ref="B31:R31" si="19">SUM(B15:B30)</f>
        <v>52102000</v>
      </c>
      <c r="C31" s="177">
        <f t="shared" si="19"/>
        <v>52623020</v>
      </c>
      <c r="D31" s="177">
        <f t="shared" si="19"/>
        <v>53149260</v>
      </c>
      <c r="E31" s="178">
        <f t="shared" si="19"/>
        <v>157874280</v>
      </c>
      <c r="F31" s="177">
        <f t="shared" si="19"/>
        <v>54743730</v>
      </c>
      <c r="G31" s="177">
        <f t="shared" si="19"/>
        <v>56386050</v>
      </c>
      <c r="H31" s="177">
        <f t="shared" si="19"/>
        <v>58077620</v>
      </c>
      <c r="I31" s="178">
        <f t="shared" si="19"/>
        <v>169207400</v>
      </c>
      <c r="J31" s="177">
        <f t="shared" si="19"/>
        <v>59239190</v>
      </c>
      <c r="K31" s="177">
        <f t="shared" si="19"/>
        <v>60423970</v>
      </c>
      <c r="L31" s="177">
        <f t="shared" si="19"/>
        <v>61632470</v>
      </c>
      <c r="M31" s="178">
        <f t="shared" si="19"/>
        <v>181295630</v>
      </c>
      <c r="N31" s="177">
        <f t="shared" si="19"/>
        <v>63481450</v>
      </c>
      <c r="O31" s="177">
        <f t="shared" si="19"/>
        <v>65385920</v>
      </c>
      <c r="P31" s="177">
        <f t="shared" si="19"/>
        <v>67347490</v>
      </c>
      <c r="Q31" s="178">
        <f t="shared" si="19"/>
        <v>196214860</v>
      </c>
      <c r="R31" s="177">
        <f t="shared" si="19"/>
        <v>704592170</v>
      </c>
    </row>
    <row r="32" spans="1:18" s="9" customFormat="1" ht="18" x14ac:dyDescent="0.35">
      <c r="A32" s="170" t="s">
        <v>76</v>
      </c>
      <c r="B32">
        <f t="shared" ref="B32:R32" si="20">B13-B31</f>
        <v>33298000</v>
      </c>
      <c r="C32">
        <f t="shared" si="20"/>
        <v>33630980</v>
      </c>
      <c r="D32">
        <f t="shared" si="20"/>
        <v>33967280</v>
      </c>
      <c r="E32" s="173">
        <f t="shared" si="20"/>
        <v>100896260</v>
      </c>
      <c r="F32">
        <f t="shared" si="20"/>
        <v>34986310</v>
      </c>
      <c r="G32">
        <f t="shared" si="20"/>
        <v>36035890</v>
      </c>
      <c r="H32">
        <f t="shared" si="20"/>
        <v>37116980</v>
      </c>
      <c r="I32" s="173">
        <f t="shared" si="20"/>
        <v>108139180</v>
      </c>
      <c r="J32">
        <f t="shared" si="20"/>
        <v>37859290</v>
      </c>
      <c r="K32">
        <f t="shared" si="20"/>
        <v>38616480</v>
      </c>
      <c r="L32">
        <f t="shared" si="20"/>
        <v>39388780</v>
      </c>
      <c r="M32" s="173">
        <f t="shared" si="20"/>
        <v>115864550</v>
      </c>
      <c r="N32">
        <f t="shared" si="20"/>
        <v>40570450</v>
      </c>
      <c r="O32">
        <f t="shared" si="20"/>
        <v>41787530</v>
      </c>
      <c r="P32">
        <f t="shared" si="20"/>
        <v>43041170</v>
      </c>
      <c r="Q32" s="173">
        <f t="shared" si="20"/>
        <v>125399150</v>
      </c>
      <c r="R32">
        <f t="shared" si="20"/>
        <v>450299140</v>
      </c>
    </row>
    <row r="33" spans="18:18" x14ac:dyDescent="0.3">
      <c r="R33" s="143"/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Custom Number Formatting</vt:lpstr>
      <vt:lpstr>Chart Generator</vt:lpstr>
      <vt:lpstr>Sort &amp; Filter</vt:lpstr>
      <vt:lpstr>Input Cells Color &amp; Unlock</vt:lpstr>
      <vt:lpstr>Test</vt:lpstr>
      <vt:lpstr>Macro for Millions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cara c</cp:lastModifiedBy>
  <dcterms:created xsi:type="dcterms:W3CDTF">2010-04-19T16:22:22Z</dcterms:created>
  <dcterms:modified xsi:type="dcterms:W3CDTF">2016-04-22T22:00:55Z</dcterms:modified>
</cp:coreProperties>
</file>