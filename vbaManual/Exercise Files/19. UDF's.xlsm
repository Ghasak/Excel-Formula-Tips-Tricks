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0116" windowHeight="7836" activeTab="2"/>
  </bookViews>
  <sheets>
    <sheet name="FuelCostCalc" sheetId="1" r:id="rId1"/>
    <sheet name="PercentChange" sheetId="3" r:id="rId2"/>
    <sheet name="SurfaceArea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3" l="1"/>
  <c r="D23" i="3" s="1"/>
  <c r="D24" i="3" s="1"/>
  <c r="D25" i="3" s="1"/>
  <c r="D26" i="3" s="1"/>
  <c r="D27" i="3" s="1"/>
  <c r="C22" i="3"/>
  <c r="C23" i="3" s="1"/>
  <c r="C24" i="3" s="1"/>
  <c r="C25" i="3" s="1"/>
  <c r="C26" i="3" s="1"/>
  <c r="C27" i="3" s="1"/>
  <c r="E27" i="3" s="1"/>
  <c r="E21" i="3"/>
  <c r="E22" i="3" l="1"/>
  <c r="E26" i="3"/>
  <c r="E24" i="3"/>
  <c r="E25" i="3"/>
  <c r="E23" i="3"/>
  <c r="H26" i="1"/>
</calcChain>
</file>

<file path=xl/sharedStrings.xml><?xml version="1.0" encoding="utf-8"?>
<sst xmlns="http://schemas.openxmlformats.org/spreadsheetml/2006/main" count="65" uniqueCount="40">
  <si>
    <t xml:space="preserve">We have a road trip coming up. </t>
  </si>
  <si>
    <t>Prius</t>
  </si>
  <si>
    <t>Vehicle</t>
  </si>
  <si>
    <t>Prius C</t>
  </si>
  <si>
    <t>Mustang Convertible</t>
  </si>
  <si>
    <t>RV</t>
  </si>
  <si>
    <t>Average Miles Per Gallon</t>
  </si>
  <si>
    <t>Fuel Cost Calculator</t>
  </si>
  <si>
    <t>We're taking three cars</t>
  </si>
  <si>
    <t>Stretch</t>
  </si>
  <si>
    <t>Miles</t>
  </si>
  <si>
    <t>Local Cost / Gallon</t>
  </si>
  <si>
    <t>Car</t>
  </si>
  <si>
    <t>Cost</t>
  </si>
  <si>
    <t>CA to OR</t>
  </si>
  <si>
    <t>Mustang</t>
  </si>
  <si>
    <t>OR to WA</t>
  </si>
  <si>
    <t>WA to ID</t>
  </si>
  <si>
    <t>ID to NV</t>
  </si>
  <si>
    <t>NV to SF</t>
  </si>
  <si>
    <t xml:space="preserve">Formula = </t>
  </si>
  <si>
    <t>Total Miles of Stretch / Miles per Gallon * Local Cost per Gallon</t>
  </si>
  <si>
    <t>Paint Calculator</t>
  </si>
  <si>
    <t>Painting your house and don't know how much paint you'll need?</t>
  </si>
  <si>
    <t>Make a function to calculate surface area of your house!</t>
  </si>
  <si>
    <t>Width of House</t>
  </si>
  <si>
    <t>Depth of House</t>
  </si>
  <si>
    <t>Height House Square Block</t>
  </si>
  <si>
    <t>Height Roof Triangle Block</t>
  </si>
  <si>
    <t>Measurements</t>
  </si>
  <si>
    <t>Percent Change Over Time</t>
  </si>
  <si>
    <t>Year</t>
  </si>
  <si>
    <t>Lets calculate the change in snowfall in Tahoe for the last few years</t>
  </si>
  <si>
    <t>Snowfall in inches</t>
  </si>
  <si>
    <t>Percent Change</t>
  </si>
  <si>
    <t>PercentChange = (Current - Previous) / Previous</t>
  </si>
  <si>
    <t>Working Capital</t>
  </si>
  <si>
    <t>Change in Working Capital</t>
  </si>
  <si>
    <t>Assets</t>
  </si>
  <si>
    <t>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</si>
</sst>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26"/>
      <color theme="5" tint="-0.249977111117893"/>
      <name val="Calibri"/>
      <family val="2"/>
      <scheme val="minor"/>
    </font>
    <font>
      <sz val="20"/>
      <color theme="9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20"/>
      <color theme="5" tint="0.7999816888943144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</cellStyleXfs>
  <cellXfs count="103">
    <xf numFmtId="0" fontId="0" fillId="0" borderId="0" xfId="0"/>
    <xf numFmtId="0" fontId="0" fillId="13" borderId="0" xfId="0" applyFill="1"/>
    <xf numFmtId="0" fontId="0" fillId="14" borderId="0" xfId="0" applyFill="1"/>
    <xf numFmtId="0" fontId="5" fillId="10" borderId="2" xfId="11" applyFont="1" applyBorder="1" applyAlignment="1">
      <alignment horizontal="center"/>
    </xf>
    <xf numFmtId="0" fontId="5" fillId="10" borderId="3" xfId="11" applyFont="1" applyBorder="1" applyAlignment="1">
      <alignment horizontal="center"/>
    </xf>
    <xf numFmtId="0" fontId="5" fillId="10" borderId="4" xfId="11" applyFont="1" applyBorder="1" applyAlignment="1">
      <alignment horizontal="center"/>
    </xf>
    <xf numFmtId="0" fontId="1" fillId="8" borderId="5" xfId="9" applyBorder="1"/>
    <xf numFmtId="0" fontId="1" fillId="8" borderId="0" xfId="9" applyBorder="1"/>
    <xf numFmtId="0" fontId="1" fillId="8" borderId="0" xfId="9" applyBorder="1" applyAlignment="1">
      <alignment horizontal="center"/>
    </xf>
    <xf numFmtId="44" fontId="1" fillId="8" borderId="0" xfId="1" applyFill="1" applyBorder="1"/>
    <xf numFmtId="0" fontId="1" fillId="9" borderId="5" xfId="10" applyBorder="1"/>
    <xf numFmtId="0" fontId="1" fillId="9" borderId="0" xfId="10" applyBorder="1"/>
    <xf numFmtId="0" fontId="1" fillId="9" borderId="0" xfId="10" applyBorder="1" applyAlignment="1">
      <alignment horizontal="center"/>
    </xf>
    <xf numFmtId="44" fontId="1" fillId="9" borderId="0" xfId="1" applyFill="1" applyBorder="1"/>
    <xf numFmtId="0" fontId="1" fillId="9" borderId="6" xfId="10" applyBorder="1"/>
    <xf numFmtId="0" fontId="1" fillId="11" borderId="5" xfId="12" applyBorder="1"/>
    <xf numFmtId="0" fontId="1" fillId="11" borderId="0" xfId="12" applyBorder="1"/>
    <xf numFmtId="0" fontId="1" fillId="11" borderId="0" xfId="12" applyBorder="1" applyAlignment="1">
      <alignment horizontal="center"/>
    </xf>
    <xf numFmtId="44" fontId="1" fillId="11" borderId="0" xfId="1" applyFill="1" applyBorder="1"/>
    <xf numFmtId="0" fontId="1" fillId="11" borderId="6" xfId="12" applyBorder="1"/>
    <xf numFmtId="0" fontId="1" fillId="4" borderId="5" xfId="5" applyBorder="1"/>
    <xf numFmtId="0" fontId="1" fillId="4" borderId="0" xfId="5" applyBorder="1"/>
    <xf numFmtId="0" fontId="1" fillId="4" borderId="0" xfId="5" applyBorder="1" applyAlignment="1">
      <alignment horizontal="center"/>
    </xf>
    <xf numFmtId="44" fontId="1" fillId="4" borderId="0" xfId="1" applyFill="1" applyBorder="1"/>
    <xf numFmtId="0" fontId="1" fillId="4" borderId="6" xfId="5" applyBorder="1"/>
    <xf numFmtId="0" fontId="1" fillId="3" borderId="5" xfId="4" applyBorder="1"/>
    <xf numFmtId="0" fontId="1" fillId="3" borderId="0" xfId="4" applyBorder="1"/>
    <xf numFmtId="0" fontId="1" fillId="3" borderId="0" xfId="4" applyBorder="1" applyAlignment="1">
      <alignment horizontal="center"/>
    </xf>
    <xf numFmtId="44" fontId="1" fillId="3" borderId="0" xfId="1" applyFill="1" applyBorder="1"/>
    <xf numFmtId="0" fontId="1" fillId="3" borderId="6" xfId="4" applyBorder="1"/>
    <xf numFmtId="0" fontId="1" fillId="3" borderId="7" xfId="4" applyBorder="1"/>
    <xf numFmtId="0" fontId="1" fillId="3" borderId="8" xfId="4" applyBorder="1"/>
    <xf numFmtId="0" fontId="1" fillId="3" borderId="8" xfId="4" applyBorder="1" applyAlignment="1">
      <alignment horizontal="center"/>
    </xf>
    <xf numFmtId="44" fontId="1" fillId="3" borderId="8" xfId="1" applyFill="1" applyBorder="1"/>
    <xf numFmtId="0" fontId="1" fillId="3" borderId="9" xfId="4" applyBorder="1"/>
    <xf numFmtId="0" fontId="2" fillId="6" borderId="2" xfId="7" applyBorder="1"/>
    <xf numFmtId="0" fontId="2" fillId="6" borderId="4" xfId="7" applyBorder="1"/>
    <xf numFmtId="0" fontId="1" fillId="7" borderId="5" xfId="8" applyBorder="1"/>
    <xf numFmtId="0" fontId="1" fillId="7" borderId="6" xfId="8" applyBorder="1"/>
    <xf numFmtId="0" fontId="1" fillId="7" borderId="7" xfId="8" applyBorder="1"/>
    <xf numFmtId="0" fontId="1" fillId="7" borderId="9" xfId="8" applyBorder="1"/>
    <xf numFmtId="44" fontId="1" fillId="8" borderId="6" xfId="1" applyFill="1" applyBorder="1"/>
    <xf numFmtId="0" fontId="1" fillId="8" borderId="7" xfId="9" applyBorder="1"/>
    <xf numFmtId="0" fontId="1" fillId="8" borderId="8" xfId="9" applyBorder="1"/>
    <xf numFmtId="0" fontId="1" fillId="8" borderId="8" xfId="9" applyBorder="1" applyAlignment="1">
      <alignment horizontal="center"/>
    </xf>
    <xf numFmtId="44" fontId="1" fillId="8" borderId="8" xfId="1" applyFill="1" applyBorder="1"/>
    <xf numFmtId="44" fontId="1" fillId="8" borderId="9" xfId="1" applyFill="1" applyBorder="1"/>
    <xf numFmtId="0" fontId="1" fillId="9" borderId="2" xfId="10" applyBorder="1"/>
    <xf numFmtId="0" fontId="1" fillId="9" borderId="3" xfId="10" applyBorder="1"/>
    <xf numFmtId="0" fontId="1" fillId="9" borderId="3" xfId="10" applyBorder="1" applyAlignment="1">
      <alignment horizontal="center"/>
    </xf>
    <xf numFmtId="44" fontId="1" fillId="9" borderId="3" xfId="1" applyFill="1" applyBorder="1"/>
    <xf numFmtId="0" fontId="1" fillId="9" borderId="4" xfId="10" applyBorder="1"/>
    <xf numFmtId="0" fontId="1" fillId="9" borderId="7" xfId="10" applyBorder="1"/>
    <xf numFmtId="0" fontId="1" fillId="9" borderId="8" xfId="10" applyBorder="1"/>
    <xf numFmtId="0" fontId="1" fillId="9" borderId="8" xfId="10" applyBorder="1" applyAlignment="1">
      <alignment horizontal="center"/>
    </xf>
    <xf numFmtId="44" fontId="1" fillId="9" borderId="8" xfId="1" applyFill="1" applyBorder="1"/>
    <xf numFmtId="0" fontId="1" fillId="9" borderId="9" xfId="10" applyBorder="1"/>
    <xf numFmtId="0" fontId="1" fillId="11" borderId="2" xfId="12" applyBorder="1"/>
    <xf numFmtId="0" fontId="1" fillId="11" borderId="3" xfId="12" applyBorder="1"/>
    <xf numFmtId="0" fontId="1" fillId="11" borderId="3" xfId="12" applyBorder="1" applyAlignment="1">
      <alignment horizontal="center"/>
    </xf>
    <xf numFmtId="44" fontId="1" fillId="11" borderId="3" xfId="1" applyFill="1" applyBorder="1"/>
    <xf numFmtId="0" fontId="1" fillId="11" borderId="4" xfId="12" applyBorder="1"/>
    <xf numFmtId="0" fontId="1" fillId="11" borderId="7" xfId="12" applyBorder="1"/>
    <xf numFmtId="0" fontId="1" fillId="11" borderId="8" xfId="12" applyBorder="1"/>
    <xf numFmtId="0" fontId="1" fillId="11" borderId="8" xfId="12" applyBorder="1" applyAlignment="1">
      <alignment horizontal="center"/>
    </xf>
    <xf numFmtId="44" fontId="1" fillId="11" borderId="8" xfId="1" applyFill="1" applyBorder="1"/>
    <xf numFmtId="0" fontId="1" fillId="11" borderId="9" xfId="12" applyBorder="1"/>
    <xf numFmtId="0" fontId="1" fillId="4" borderId="2" xfId="5" applyBorder="1"/>
    <xf numFmtId="0" fontId="1" fillId="4" borderId="3" xfId="5" applyBorder="1"/>
    <xf numFmtId="0" fontId="1" fillId="4" borderId="3" xfId="5" applyBorder="1" applyAlignment="1">
      <alignment horizontal="center"/>
    </xf>
    <xf numFmtId="44" fontId="1" fillId="4" borderId="3" xfId="1" applyFill="1" applyBorder="1"/>
    <xf numFmtId="0" fontId="1" fillId="4" borderId="4" xfId="5" applyBorder="1"/>
    <xf numFmtId="0" fontId="1" fillId="4" borderId="7" xfId="5" applyBorder="1"/>
    <xf numFmtId="0" fontId="1" fillId="4" borderId="8" xfId="5" applyBorder="1"/>
    <xf numFmtId="0" fontId="1" fillId="4" borderId="8" xfId="5" applyBorder="1" applyAlignment="1">
      <alignment horizontal="center"/>
    </xf>
    <xf numFmtId="44" fontId="1" fillId="4" borderId="8" xfId="1" applyFill="1" applyBorder="1"/>
    <xf numFmtId="0" fontId="1" fillId="4" borderId="9" xfId="5" applyBorder="1"/>
    <xf numFmtId="0" fontId="1" fillId="3" borderId="2" xfId="4" applyBorder="1"/>
    <xf numFmtId="0" fontId="1" fillId="3" borderId="3" xfId="4" applyBorder="1"/>
    <xf numFmtId="0" fontId="1" fillId="3" borderId="3" xfId="4" applyBorder="1" applyAlignment="1">
      <alignment horizontal="center"/>
    </xf>
    <xf numFmtId="44" fontId="1" fillId="3" borderId="3" xfId="1" applyFill="1" applyBorder="1"/>
    <xf numFmtId="0" fontId="1" fillId="3" borderId="4" xfId="4" applyBorder="1"/>
    <xf numFmtId="44" fontId="4" fillId="12" borderId="1" xfId="1" applyFont="1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2" fillId="2" borderId="0" xfId="3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9" fillId="18" borderId="0" xfId="0" applyFont="1" applyFill="1"/>
    <xf numFmtId="0" fontId="0" fillId="18" borderId="0" xfId="0" applyFill="1" applyAlignment="1">
      <alignment horizontal="center"/>
    </xf>
    <xf numFmtId="0" fontId="10" fillId="18" borderId="0" xfId="0" applyFont="1" applyFill="1" applyAlignment="1">
      <alignment horizontal="center"/>
    </xf>
    <xf numFmtId="0" fontId="11" fillId="18" borderId="0" xfId="0" applyFont="1" applyFill="1"/>
    <xf numFmtId="9" fontId="0" fillId="18" borderId="0" xfId="2" applyFont="1" applyFill="1"/>
    <xf numFmtId="0" fontId="3" fillId="18" borderId="0" xfId="0" applyFont="1" applyFill="1"/>
    <xf numFmtId="0" fontId="12" fillId="19" borderId="0" xfId="0" applyFont="1" applyFill="1" applyAlignment="1">
      <alignment vertical="top"/>
    </xf>
    <xf numFmtId="0" fontId="13" fillId="19" borderId="0" xfId="0" applyFont="1" applyFill="1"/>
    <xf numFmtId="44" fontId="0" fillId="18" borderId="0" xfId="1" applyFont="1" applyFill="1"/>
    <xf numFmtId="0" fontId="14" fillId="14" borderId="10" xfId="6" applyFont="1" applyFill="1" applyBorder="1" applyAlignment="1">
      <alignment horizontal="center"/>
    </xf>
    <xf numFmtId="0" fontId="15" fillId="14" borderId="0" xfId="0" applyFont="1" applyFill="1"/>
    <xf numFmtId="0" fontId="14" fillId="14" borderId="10" xfId="6" applyFont="1" applyFill="1" applyBorder="1" applyAlignment="1">
      <alignment horizontal="left"/>
    </xf>
  </cellXfs>
  <cellStyles count="13">
    <cellStyle name="20% - Accent1" xfId="4" builtinId="30"/>
    <cellStyle name="20% - Accent2" xfId="5" builtinId="34"/>
    <cellStyle name="20% - Accent4" xfId="8" builtinId="42"/>
    <cellStyle name="20% - Accent5" xfId="9" builtinId="46"/>
    <cellStyle name="20% - Accent6" xfId="12" builtinId="50"/>
    <cellStyle name="40% - Accent2" xfId="6" builtinId="35"/>
    <cellStyle name="40% - Accent5" xfId="10" builtinId="47"/>
    <cellStyle name="Accent1" xfId="3" builtinId="29"/>
    <cellStyle name="Accent4" xfId="7" builtinId="41"/>
    <cellStyle name="Accent6" xfId="11" builtinId="49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PercentChange!$C$5</c:f>
              <c:strCache>
                <c:ptCount val="1"/>
                <c:pt idx="0">
                  <c:v>Snowfall in inches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PercentChange!$B$6:$B$11</c:f>
              <c:numCache>
                <c:formatCode>General</c:formatCod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</c:numCache>
            </c:numRef>
          </c:cat>
          <c:val>
            <c:numRef>
              <c:f>PercentChange!$C$6:$C$11</c:f>
              <c:numCache>
                <c:formatCode>General</c:formatCode>
                <c:ptCount val="6"/>
                <c:pt idx="0">
                  <c:v>424</c:v>
                </c:pt>
                <c:pt idx="1">
                  <c:v>337</c:v>
                </c:pt>
                <c:pt idx="2">
                  <c:v>301</c:v>
                </c:pt>
                <c:pt idx="3">
                  <c:v>334</c:v>
                </c:pt>
                <c:pt idx="4">
                  <c:v>200</c:v>
                </c:pt>
                <c:pt idx="5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53696704"/>
        <c:axId val="253697264"/>
      </c:barChart>
      <c:lineChart>
        <c:grouping val="standard"/>
        <c:varyColors val="0"/>
        <c:ser>
          <c:idx val="1"/>
          <c:order val="1"/>
          <c:tx>
            <c:strRef>
              <c:f>PercentChange!$D$5</c:f>
              <c:strCache>
                <c:ptCount val="1"/>
                <c:pt idx="0">
                  <c:v>Percent Change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PercentChange!$D$6:$D$10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85984"/>
        <c:axId val="263084864"/>
      </c:lineChart>
      <c:catAx>
        <c:axId val="25369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7264"/>
        <c:crosses val="autoZero"/>
        <c:auto val="1"/>
        <c:lblAlgn val="ctr"/>
        <c:lblOffset val="100"/>
        <c:noMultiLvlLbl val="0"/>
      </c:catAx>
      <c:valAx>
        <c:axId val="25369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6704"/>
        <c:crosses val="autoZero"/>
        <c:crossBetween val="between"/>
      </c:valAx>
      <c:valAx>
        <c:axId val="263084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085984"/>
        <c:crosses val="max"/>
        <c:crossBetween val="between"/>
      </c:valAx>
      <c:catAx>
        <c:axId val="263085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08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Working Capital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PercentChange!$E$20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PercentChange!$E$21:$E$27</c:f>
              <c:numCache>
                <c:formatCode>_("$"* #,##0.00_);_("$"* \(#,##0.00\);_("$"* "-"??_);_(@_)</c:formatCode>
                <c:ptCount val="7"/>
                <c:pt idx="0">
                  <c:v>-69183</c:v>
                </c:pt>
                <c:pt idx="1">
                  <c:v>-65811.999999999985</c:v>
                </c:pt>
                <c:pt idx="2">
                  <c:v>-51442.239999999962</c:v>
                </c:pt>
                <c:pt idx="3">
                  <c:v>-17679.231999999931</c:v>
                </c:pt>
                <c:pt idx="4">
                  <c:v>49267.251200000115</c:v>
                </c:pt>
                <c:pt idx="5">
                  <c:v>171892.42880000017</c:v>
                </c:pt>
                <c:pt idx="6">
                  <c:v>386705.67833600024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1-4333-9E54-3BDDD796B830}"/>
            </c:ext>
          </c:extLst>
        </c:ser>
        <c:ser>
          <c:idx val="1"/>
          <c:order val="1"/>
          <c:tx>
            <c:strRef>
              <c:f>PercentChange!$F$20</c:f>
              <c:strCache>
                <c:ptCount val="1"/>
                <c:pt idx="0">
                  <c:v>Percent Change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PercentChange!$F$21:$F$27</c:f>
              <c:numCache>
                <c:formatCode>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4F81-4333-9E54-3BDDD796B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3403376"/>
        <c:axId val="256941136"/>
      </c:barChart>
      <c:catAx>
        <c:axId val="263403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6941136"/>
        <c:crosses val="autoZero"/>
        <c:auto val="1"/>
        <c:lblAlgn val="ctr"/>
        <c:lblOffset val="100"/>
        <c:noMultiLvlLbl val="0"/>
      </c:catAx>
      <c:valAx>
        <c:axId val="256941136"/>
        <c:scaling>
          <c:orientation val="minMax"/>
          <c:max val="400000"/>
          <c:min val="-200000"/>
        </c:scaling>
        <c:delete val="0"/>
        <c:axPos val="l"/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033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214313</xdr:colOff>
      <xdr:row>27</xdr:row>
      <xdr:rowOff>119063</xdr:rowOff>
    </xdr:from>
    <xdr:to>
      <xdr:col>8</xdr:col>
      <xdr:colOff>135732</xdr:colOff>
      <xdr:row>61</xdr:row>
      <xdr:rowOff>29287</xdr:rowOff>
    </xdr:to>
    <xdr:pic>
      <xdr:nvPicPr>
        <xdr:cNvPr id="2" name="Picture 1" descr="Ryders Eyewear 2012 Road Trip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3" y="5643563"/>
          <a:ext cx="9565482" cy="6387224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  <a:ex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523875</xdr:colOff>
      <xdr:row>1</xdr:row>
      <xdr:rowOff>66675</xdr:rowOff>
    </xdr:from>
    <xdr:to>
      <xdr:col>20</xdr:col>
      <xdr:colOff>400050</xdr:colOff>
      <xdr:row>12</xdr:row>
      <xdr:rowOff>114300</xdr:rowOff>
    </xdr:to>
    <xdr:pic>
      <xdr:nvPicPr>
        <xdr:cNvPr id="2" name="Picture 1" descr="Enjoy Fresh Powder at Northstar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733425"/>
          <a:ext cx="6581775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438151</xdr:colOff>
      <xdr:row>3</xdr:row>
      <xdr:rowOff>152399</xdr:rowOff>
    </xdr:from>
    <xdr:to>
      <xdr:col>9</xdr:col>
      <xdr:colOff>381001</xdr:colOff>
      <xdr:row>11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600075</xdr:colOff>
      <xdr:row>17</xdr:row>
      <xdr:rowOff>9525</xdr:rowOff>
    </xdr:from>
    <xdr:to>
      <xdr:col>15</xdr:col>
      <xdr:colOff>173704</xdr:colOff>
      <xdr:row>27</xdr:row>
      <xdr:rowOff>152400</xdr:rowOff>
    </xdr:to>
    <xdr:pic>
      <xdr:nvPicPr>
        <xdr:cNvPr id="4" name="Picture 3" descr="https://www.credibly.com/incredibly/wp-content/uploads/2015/10/working-capital-growth-capital.jp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3810000"/>
          <a:ext cx="3231229" cy="209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276225</xdr:colOff>
      <xdr:row>17</xdr:row>
      <xdr:rowOff>0</xdr:rowOff>
    </xdr:from>
    <xdr:to>
      <xdr:col>9</xdr:col>
      <xdr:colOff>514349</xdr:colOff>
      <xdr:row>27</xdr:row>
      <xdr:rowOff>104775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190499</xdr:colOff>
      <xdr:row>4</xdr:row>
      <xdr:rowOff>95249</xdr:rowOff>
    </xdr:from>
    <xdr:to>
      <xdr:col>8</xdr:col>
      <xdr:colOff>257174</xdr:colOff>
      <xdr:row>20</xdr:row>
      <xdr:rowOff>161924</xdr:rowOff>
    </xdr:to>
    <xdr:pic>
      <xdr:nvPicPr>
        <xdr:cNvPr id="7" name="Picture 6" descr="http://favorite-garden.ru/images/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299" y="857249"/>
          <a:ext cx="3114675" cy="311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85725</xdr:colOff>
      <xdr:row>5</xdr:row>
      <xdr:rowOff>66675</xdr:rowOff>
    </xdr:from>
    <xdr:to>
      <xdr:col>5</xdr:col>
      <xdr:colOff>590550</xdr:colOff>
      <xdr:row>6</xdr:row>
      <xdr:rowOff>161925</xdr:rowOff>
    </xdr:to>
    <xdr:sp macro="" textlink="">
      <xdr:nvSpPr>
        <xdr:cNvPr id="14" name="TextBox 13"/>
        <xdr:cNvSpPr txBox="1"/>
      </xdr:nvSpPr>
      <xdr:spPr>
        <a:xfrm>
          <a:off x="3133725" y="10191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25'</a:t>
          </a:r>
        </a:p>
      </xdr:txBody>
    </xdr:sp>
    <xdr:clientData/>
  </xdr:twoCellAnchor>
  <xdr:twoCellAnchor>
    <xdr:from>
      <xdr:col>2</xdr:col>
      <xdr:colOff>466725</xdr:colOff>
      <xdr:row>14</xdr:row>
      <xdr:rowOff>0</xdr:rowOff>
    </xdr:from>
    <xdr:to>
      <xdr:col>3</xdr:col>
      <xdr:colOff>361950</xdr:colOff>
      <xdr:row>15</xdr:row>
      <xdr:rowOff>95250</xdr:rowOff>
    </xdr:to>
    <xdr:sp macro="" textlink="">
      <xdr:nvSpPr>
        <xdr:cNvPr id="15" name="TextBox 14"/>
        <xdr:cNvSpPr txBox="1"/>
      </xdr:nvSpPr>
      <xdr:spPr>
        <a:xfrm>
          <a:off x="1685925" y="26670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10'</a:t>
          </a:r>
        </a:p>
      </xdr:txBody>
    </xdr:sp>
    <xdr:clientData/>
  </xdr:twoCellAnchor>
  <xdr:twoCellAnchor>
    <xdr:from>
      <xdr:col>4</xdr:col>
      <xdr:colOff>171450</xdr:colOff>
      <xdr:row>18</xdr:row>
      <xdr:rowOff>66675</xdr:rowOff>
    </xdr:from>
    <xdr:to>
      <xdr:col>5</xdr:col>
      <xdr:colOff>66675</xdr:colOff>
      <xdr:row>19</xdr:row>
      <xdr:rowOff>161925</xdr:rowOff>
    </xdr:to>
    <xdr:sp macro="" textlink="">
      <xdr:nvSpPr>
        <xdr:cNvPr id="16" name="TextBox 15"/>
        <xdr:cNvSpPr txBox="1"/>
      </xdr:nvSpPr>
      <xdr:spPr>
        <a:xfrm>
          <a:off x="2609850" y="34956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15'</a:t>
          </a:r>
        </a:p>
      </xdr:txBody>
    </xdr:sp>
    <xdr:clientData/>
  </xdr:twoCellAnchor>
  <xdr:twoCellAnchor>
    <xdr:from>
      <xdr:col>4</xdr:col>
      <xdr:colOff>523875</xdr:colOff>
      <xdr:row>11</xdr:row>
      <xdr:rowOff>114300</xdr:rowOff>
    </xdr:from>
    <xdr:to>
      <xdr:col>5</xdr:col>
      <xdr:colOff>419100</xdr:colOff>
      <xdr:row>13</xdr:row>
      <xdr:rowOff>19050</xdr:rowOff>
    </xdr:to>
    <xdr:sp macro="" textlink="">
      <xdr:nvSpPr>
        <xdr:cNvPr id="17" name="TextBox 16"/>
        <xdr:cNvSpPr txBox="1"/>
      </xdr:nvSpPr>
      <xdr:spPr>
        <a:xfrm>
          <a:off x="2962275" y="22098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8'</a:t>
          </a:r>
        </a:p>
      </xdr:txBody>
    </xdr:sp>
    <xdr:clientData/>
  </xdr:twoCellAnchor>
  <xdr:twoCellAnchor>
    <xdr:from>
      <xdr:col>4</xdr:col>
      <xdr:colOff>457200</xdr:colOff>
      <xdr:row>8</xdr:row>
      <xdr:rowOff>95250</xdr:rowOff>
    </xdr:from>
    <xdr:to>
      <xdr:col>4</xdr:col>
      <xdr:colOff>466725</xdr:colOff>
      <xdr:row>12</xdr:row>
      <xdr:rowOff>152400</xdr:rowOff>
    </xdr:to>
    <xdr:cxnSp macro="">
      <xdr:nvCxnSpPr>
        <xdr:cNvPr id="19" name="Straight Connector 18"/>
        <xdr:cNvCxnSpPr/>
      </xdr:nvCxnSpPr>
      <xdr:spPr>
        <a:xfrm>
          <a:off x="2895600" y="1619250"/>
          <a:ext cx="9525" cy="8191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"/>
  <sheetViews>
    <sheetView zoomScale="80" zoomScaleNormal="80" workbookViewId="0">
      <selection activeCell="H6" sqref="H6:H8"/>
    </sheetView>
  </sheetViews>
  <sheetFormatPr defaultRowHeight="14.4" x14ac:dyDescent="0.3"/>
  <cols>
    <col min="1" max="1" width="21.6640625" customWidth="1"/>
    <col min="2" max="2" width="27.109375" customWidth="1"/>
    <col min="3" max="3" width="8.88671875" customWidth="1"/>
    <col min="4" max="4" width="12.6640625" customWidth="1"/>
    <col min="5" max="5" width="17.5546875" customWidth="1"/>
    <col min="6" max="6" width="10.5546875" customWidth="1"/>
    <col min="7" max="7" width="22.5546875" bestFit="1" customWidth="1"/>
    <col min="8" max="8" width="23.5546875" customWidth="1"/>
    <col min="10" max="10" width="19.33203125" customWidth="1"/>
  </cols>
  <sheetData>
    <row r="1" spans="1:8" ht="33.6" x14ac:dyDescent="0.65">
      <c r="A1" s="83" t="s">
        <v>7</v>
      </c>
    </row>
    <row r="2" spans="1:8" x14ac:dyDescent="0.3">
      <c r="A2" s="1" t="s">
        <v>0</v>
      </c>
      <c r="B2" s="1"/>
      <c r="D2" t="s">
        <v>20</v>
      </c>
      <c r="E2" t="s">
        <v>21</v>
      </c>
    </row>
    <row r="3" spans="1:8" x14ac:dyDescent="0.3">
      <c r="A3" s="2" t="s">
        <v>8</v>
      </c>
      <c r="B3" s="2"/>
    </row>
    <row r="4" spans="1:8" ht="15" thickBot="1" x14ac:dyDescent="0.35"/>
    <row r="5" spans="1:8" ht="18" x14ac:dyDescent="0.35">
      <c r="A5" s="35" t="s">
        <v>2</v>
      </c>
      <c r="B5" s="36" t="s">
        <v>6</v>
      </c>
      <c r="D5" s="3" t="s">
        <v>9</v>
      </c>
      <c r="E5" s="4" t="s">
        <v>12</v>
      </c>
      <c r="F5" s="4" t="s">
        <v>10</v>
      </c>
      <c r="G5" s="4" t="s">
        <v>11</v>
      </c>
      <c r="H5" s="5" t="s">
        <v>13</v>
      </c>
    </row>
    <row r="6" spans="1:8" x14ac:dyDescent="0.3">
      <c r="A6" s="37" t="s">
        <v>3</v>
      </c>
      <c r="B6" s="38">
        <v>51</v>
      </c>
      <c r="D6" s="6" t="s">
        <v>14</v>
      </c>
      <c r="E6" s="7" t="s">
        <v>1</v>
      </c>
      <c r="F6" s="8">
        <v>492</v>
      </c>
      <c r="G6" s="9">
        <v>2.8610000000000002</v>
      </c>
      <c r="H6" s="41"/>
    </row>
    <row r="7" spans="1:8" x14ac:dyDescent="0.3">
      <c r="A7" s="37" t="s">
        <v>4</v>
      </c>
      <c r="B7" s="38">
        <v>29</v>
      </c>
      <c r="D7" s="6" t="s">
        <v>14</v>
      </c>
      <c r="E7" s="7" t="s">
        <v>15</v>
      </c>
      <c r="F7" s="8">
        <v>492</v>
      </c>
      <c r="G7" s="9">
        <v>2.8610000000000002</v>
      </c>
      <c r="H7" s="41"/>
    </row>
    <row r="8" spans="1:8" ht="15" thickBot="1" x14ac:dyDescent="0.35">
      <c r="A8" s="39" t="s">
        <v>5</v>
      </c>
      <c r="B8" s="40">
        <v>9</v>
      </c>
      <c r="D8" s="42" t="s">
        <v>14</v>
      </c>
      <c r="E8" s="43" t="s">
        <v>5</v>
      </c>
      <c r="F8" s="44">
        <v>492</v>
      </c>
      <c r="G8" s="45">
        <v>2.8610000000000002</v>
      </c>
      <c r="H8" s="46"/>
    </row>
    <row r="9" spans="1:8" ht="15" thickBot="1" x14ac:dyDescent="0.35"/>
    <row r="10" spans="1:8" x14ac:dyDescent="0.3">
      <c r="D10" s="47" t="s">
        <v>16</v>
      </c>
      <c r="E10" s="48" t="s">
        <v>1</v>
      </c>
      <c r="F10" s="49">
        <v>328</v>
      </c>
      <c r="G10" s="50">
        <v>2.5310000000000001</v>
      </c>
      <c r="H10" s="51"/>
    </row>
    <row r="11" spans="1:8" x14ac:dyDescent="0.3">
      <c r="D11" s="10" t="s">
        <v>16</v>
      </c>
      <c r="E11" s="11" t="s">
        <v>15</v>
      </c>
      <c r="F11" s="12">
        <v>328</v>
      </c>
      <c r="G11" s="13">
        <v>2.5310000000000001</v>
      </c>
      <c r="H11" s="14"/>
    </row>
    <row r="12" spans="1:8" ht="15" thickBot="1" x14ac:dyDescent="0.35">
      <c r="D12" s="52" t="s">
        <v>16</v>
      </c>
      <c r="E12" s="53" t="s">
        <v>5</v>
      </c>
      <c r="F12" s="54">
        <v>328</v>
      </c>
      <c r="G12" s="55">
        <v>2.5310000000000001</v>
      </c>
      <c r="H12" s="56"/>
    </row>
    <row r="13" spans="1:8" ht="15" thickBot="1" x14ac:dyDescent="0.35"/>
    <row r="14" spans="1:8" x14ac:dyDescent="0.3">
      <c r="D14" s="57" t="s">
        <v>17</v>
      </c>
      <c r="E14" s="58" t="s">
        <v>1</v>
      </c>
      <c r="F14" s="59">
        <v>774</v>
      </c>
      <c r="G14" s="60">
        <v>2.645</v>
      </c>
      <c r="H14" s="61"/>
    </row>
    <row r="15" spans="1:8" x14ac:dyDescent="0.3">
      <c r="D15" s="15" t="s">
        <v>17</v>
      </c>
      <c r="E15" s="16" t="s">
        <v>15</v>
      </c>
      <c r="F15" s="17">
        <v>774</v>
      </c>
      <c r="G15" s="18">
        <v>2.645</v>
      </c>
      <c r="H15" s="19"/>
    </row>
    <row r="16" spans="1:8" ht="15" thickBot="1" x14ac:dyDescent="0.35">
      <c r="D16" s="62" t="s">
        <v>17</v>
      </c>
      <c r="E16" s="63" t="s">
        <v>5</v>
      </c>
      <c r="F16" s="64">
        <v>774</v>
      </c>
      <c r="G16" s="65">
        <v>2.645</v>
      </c>
      <c r="H16" s="66"/>
    </row>
    <row r="17" spans="4:8" ht="15" thickBot="1" x14ac:dyDescent="0.35"/>
    <row r="18" spans="4:8" x14ac:dyDescent="0.3">
      <c r="D18" s="67" t="s">
        <v>18</v>
      </c>
      <c r="E18" s="68" t="s">
        <v>1</v>
      </c>
      <c r="F18" s="69">
        <v>663</v>
      </c>
      <c r="G18" s="70">
        <v>2.4700000000000002</v>
      </c>
      <c r="H18" s="71"/>
    </row>
    <row r="19" spans="4:8" x14ac:dyDescent="0.3">
      <c r="D19" s="20" t="s">
        <v>18</v>
      </c>
      <c r="E19" s="21" t="s">
        <v>15</v>
      </c>
      <c r="F19" s="22">
        <v>663</v>
      </c>
      <c r="G19" s="23">
        <v>2.4700000000000002</v>
      </c>
      <c r="H19" s="24"/>
    </row>
    <row r="20" spans="4:8" ht="15" thickBot="1" x14ac:dyDescent="0.35">
      <c r="D20" s="72" t="s">
        <v>18</v>
      </c>
      <c r="E20" s="73" t="s">
        <v>5</v>
      </c>
      <c r="F20" s="74">
        <v>663</v>
      </c>
      <c r="G20" s="75">
        <v>2.4700000000000002</v>
      </c>
      <c r="H20" s="76"/>
    </row>
    <row r="21" spans="4:8" ht="15" thickBot="1" x14ac:dyDescent="0.35"/>
    <row r="22" spans="4:8" x14ac:dyDescent="0.3">
      <c r="D22" s="77" t="s">
        <v>19</v>
      </c>
      <c r="E22" s="78" t="s">
        <v>1</v>
      </c>
      <c r="F22" s="79">
        <v>569</v>
      </c>
      <c r="G22" s="80">
        <v>2.5590000000000002</v>
      </c>
      <c r="H22" s="81"/>
    </row>
    <row r="23" spans="4:8" x14ac:dyDescent="0.3">
      <c r="D23" s="25" t="s">
        <v>19</v>
      </c>
      <c r="E23" s="26" t="s">
        <v>15</v>
      </c>
      <c r="F23" s="27">
        <v>569</v>
      </c>
      <c r="G23" s="28">
        <v>2.5590000000000002</v>
      </c>
      <c r="H23" s="29"/>
    </row>
    <row r="24" spans="4:8" ht="15" thickBot="1" x14ac:dyDescent="0.35">
      <c r="D24" s="30" t="s">
        <v>19</v>
      </c>
      <c r="E24" s="31" t="s">
        <v>5</v>
      </c>
      <c r="F24" s="32">
        <v>569</v>
      </c>
      <c r="G24" s="33">
        <v>2.5590000000000002</v>
      </c>
      <c r="H24" s="34"/>
    </row>
    <row r="25" spans="4:8" ht="15" thickBot="1" x14ac:dyDescent="0.35"/>
    <row r="26" spans="4:8" ht="18.600000000000001" thickBot="1" x14ac:dyDescent="0.4">
      <c r="H26" s="82">
        <f>SUM(H6:H24)</f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9"/>
  <sheetViews>
    <sheetView topLeftCell="A3" zoomScaleNormal="100" workbookViewId="0">
      <selection activeCell="F21" sqref="F21"/>
    </sheetView>
  </sheetViews>
  <sheetFormatPr defaultRowHeight="14.4" x14ac:dyDescent="0.3"/>
  <cols>
    <col min="2" max="2" width="12.5546875" bestFit="1" customWidth="1"/>
    <col min="3" max="3" width="19.88671875" customWidth="1"/>
    <col min="4" max="4" width="16.44140625" customWidth="1"/>
    <col min="5" max="5" width="13.44140625" customWidth="1"/>
    <col min="6" max="6" width="12.88671875" customWidth="1"/>
  </cols>
  <sheetData>
    <row r="1" spans="1:11" s="98" customFormat="1" ht="52.5" customHeight="1" x14ac:dyDescent="0.3">
      <c r="A1" s="97" t="s">
        <v>30</v>
      </c>
    </row>
    <row r="2" spans="1:11" s="90" customFormat="1" x14ac:dyDescent="0.3"/>
    <row r="3" spans="1:11" s="90" customFormat="1" ht="21" x14ac:dyDescent="0.4">
      <c r="B3" s="91" t="s">
        <v>32</v>
      </c>
      <c r="C3" s="91"/>
      <c r="D3" s="91"/>
      <c r="E3" s="91"/>
      <c r="F3" s="91"/>
      <c r="G3" s="91"/>
      <c r="H3" s="91"/>
      <c r="I3" s="91"/>
      <c r="J3" s="91"/>
      <c r="K3" s="91"/>
    </row>
    <row r="4" spans="1:11" s="90" customFormat="1" x14ac:dyDescent="0.3"/>
    <row r="5" spans="1:11" s="90" customFormat="1" ht="15.6" x14ac:dyDescent="0.3">
      <c r="B5" s="93" t="s">
        <v>31</v>
      </c>
      <c r="C5" s="93" t="s">
        <v>33</v>
      </c>
      <c r="D5" s="94" t="s">
        <v>34</v>
      </c>
    </row>
    <row r="6" spans="1:11" s="90" customFormat="1" x14ac:dyDescent="0.3">
      <c r="B6" s="92">
        <v>2009</v>
      </c>
      <c r="C6" s="92">
        <v>424</v>
      </c>
      <c r="D6" s="95"/>
    </row>
    <row r="7" spans="1:11" s="90" customFormat="1" x14ac:dyDescent="0.3">
      <c r="B7" s="92">
        <v>2010</v>
      </c>
      <c r="C7" s="92">
        <v>337</v>
      </c>
      <c r="D7" s="95"/>
    </row>
    <row r="8" spans="1:11" s="90" customFormat="1" x14ac:dyDescent="0.3">
      <c r="B8" s="92">
        <v>2011</v>
      </c>
      <c r="C8" s="92">
        <v>301</v>
      </c>
      <c r="D8" s="95"/>
    </row>
    <row r="9" spans="1:11" s="90" customFormat="1" x14ac:dyDescent="0.3">
      <c r="B9" s="92">
        <v>2012</v>
      </c>
      <c r="C9" s="92">
        <v>334</v>
      </c>
      <c r="D9" s="95"/>
    </row>
    <row r="10" spans="1:11" s="90" customFormat="1" x14ac:dyDescent="0.3">
      <c r="B10" s="92">
        <v>2013</v>
      </c>
      <c r="C10" s="92">
        <v>200</v>
      </c>
      <c r="D10" s="95"/>
    </row>
    <row r="11" spans="1:11" s="90" customFormat="1" x14ac:dyDescent="0.3">
      <c r="B11" s="92">
        <v>2014</v>
      </c>
      <c r="C11" s="92">
        <v>133</v>
      </c>
      <c r="D11" s="95"/>
    </row>
    <row r="12" spans="1:11" s="90" customFormat="1" x14ac:dyDescent="0.3"/>
    <row r="13" spans="1:11" s="90" customFormat="1" x14ac:dyDescent="0.3">
      <c r="B13" s="96" t="s">
        <v>35</v>
      </c>
      <c r="C13" s="96"/>
      <c r="D13" s="96"/>
    </row>
    <row r="14" spans="1:11" s="89" customFormat="1" x14ac:dyDescent="0.3"/>
    <row r="15" spans="1:11" s="89" customFormat="1" x14ac:dyDescent="0.3"/>
    <row r="16" spans="1:11" s="89" customFormat="1" x14ac:dyDescent="0.3"/>
    <row r="17" spans="2:6" s="2" customFormat="1" x14ac:dyDescent="0.3"/>
    <row r="18" spans="2:6" s="2" customFormat="1" ht="18" x14ac:dyDescent="0.35">
      <c r="B18" s="101" t="s">
        <v>37</v>
      </c>
    </row>
    <row r="19" spans="2:6" s="2" customFormat="1" x14ac:dyDescent="0.3"/>
    <row r="20" spans="2:6" s="2" customFormat="1" x14ac:dyDescent="0.3">
      <c r="B20" s="100" t="s">
        <v>31</v>
      </c>
      <c r="C20" s="100" t="s">
        <v>38</v>
      </c>
      <c r="D20" s="100" t="s">
        <v>39</v>
      </c>
      <c r="E20" s="100" t="s">
        <v>36</v>
      </c>
      <c r="F20" s="102" t="s">
        <v>34</v>
      </c>
    </row>
    <row r="21" spans="2:6" s="2" customFormat="1" x14ac:dyDescent="0.3">
      <c r="B21" s="90">
        <v>2010</v>
      </c>
      <c r="C21" s="99">
        <v>43019</v>
      </c>
      <c r="D21" s="99">
        <v>112202</v>
      </c>
      <c r="E21" s="99">
        <f>C21-D21</f>
        <v>-69183</v>
      </c>
      <c r="F21" s="95"/>
    </row>
    <row r="22" spans="2:6" s="2" customFormat="1" x14ac:dyDescent="0.3">
      <c r="B22" s="90">
        <v>2011</v>
      </c>
      <c r="C22" s="99">
        <f>C21*1.6</f>
        <v>68830.400000000009</v>
      </c>
      <c r="D22" s="99">
        <f>D21*1.2</f>
        <v>134642.4</v>
      </c>
      <c r="E22" s="99">
        <f t="shared" ref="E22:E27" si="0">C22-D22</f>
        <v>-65811.999999999985</v>
      </c>
      <c r="F22" s="95"/>
    </row>
    <row r="23" spans="2:6" s="2" customFormat="1" x14ac:dyDescent="0.3">
      <c r="B23" s="90">
        <v>2012</v>
      </c>
      <c r="C23" s="99">
        <f t="shared" ref="C23:C27" si="1">C22*1.6</f>
        <v>110128.64000000001</v>
      </c>
      <c r="D23" s="99">
        <f t="shared" ref="D23:D27" si="2">D22*1.2</f>
        <v>161570.87999999998</v>
      </c>
      <c r="E23" s="99">
        <f t="shared" si="0"/>
        <v>-51442.239999999962</v>
      </c>
      <c r="F23" s="95"/>
    </row>
    <row r="24" spans="2:6" s="2" customFormat="1" x14ac:dyDescent="0.3">
      <c r="B24" s="90">
        <v>2013</v>
      </c>
      <c r="C24" s="99">
        <f t="shared" si="1"/>
        <v>176205.82400000002</v>
      </c>
      <c r="D24" s="99">
        <f t="shared" si="2"/>
        <v>193885.05599999995</v>
      </c>
      <c r="E24" s="99">
        <f t="shared" si="0"/>
        <v>-17679.231999999931</v>
      </c>
      <c r="F24" s="95"/>
    </row>
    <row r="25" spans="2:6" s="2" customFormat="1" x14ac:dyDescent="0.3">
      <c r="B25" s="90">
        <v>2014</v>
      </c>
      <c r="C25" s="99">
        <f t="shared" si="1"/>
        <v>281929.31840000005</v>
      </c>
      <c r="D25" s="99">
        <f t="shared" si="2"/>
        <v>232662.06719999993</v>
      </c>
      <c r="E25" s="99">
        <f t="shared" si="0"/>
        <v>49267.251200000115</v>
      </c>
      <c r="F25" s="95"/>
    </row>
    <row r="26" spans="2:6" s="2" customFormat="1" x14ac:dyDescent="0.3">
      <c r="B26" s="90">
        <v>2015</v>
      </c>
      <c r="C26" s="99">
        <f t="shared" si="1"/>
        <v>451086.90944000008</v>
      </c>
      <c r="D26" s="99">
        <f t="shared" si="2"/>
        <v>279194.48063999991</v>
      </c>
      <c r="E26" s="99">
        <f t="shared" si="0"/>
        <v>171892.42880000017</v>
      </c>
      <c r="F26" s="95"/>
    </row>
    <row r="27" spans="2:6" s="2" customFormat="1" x14ac:dyDescent="0.3">
      <c r="B27" s="90">
        <v>2016</v>
      </c>
      <c r="C27" s="99">
        <f t="shared" si="1"/>
        <v>721739.05510400014</v>
      </c>
      <c r="D27" s="99">
        <f t="shared" si="2"/>
        <v>335033.3767679999</v>
      </c>
      <c r="E27" s="99">
        <f t="shared" si="0"/>
        <v>386705.67833600024</v>
      </c>
      <c r="F27" s="95"/>
    </row>
    <row r="28" spans="2:6" s="2" customFormat="1" x14ac:dyDescent="0.3"/>
    <row r="29" spans="2:6" s="2" customFormat="1" x14ac:dyDescent="0.3"/>
  </sheetData>
  <sortState ref="B6:D11">
    <sortCondition ref="B6"/>
  </sortState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5"/>
  <sheetViews>
    <sheetView tabSelected="1" workbookViewId="0">
      <selection activeCell="J14" sqref="J14"/>
    </sheetView>
  </sheetViews>
  <sheetFormatPr defaultRowHeight="14.4" x14ac:dyDescent="0.3"/>
  <cols>
    <col min="1" max="1" width="27.44140625" customWidth="1"/>
    <col min="10" max="10" width="23.88671875" customWidth="1"/>
  </cols>
  <sheetData>
    <row r="1" spans="1:3" ht="25.8" x14ac:dyDescent="0.5">
      <c r="A1" s="84" t="s">
        <v>22</v>
      </c>
    </row>
    <row r="2" spans="1:3" x14ac:dyDescent="0.3">
      <c r="A2" s="85" t="s">
        <v>23</v>
      </c>
      <c r="B2" s="85"/>
      <c r="C2" s="85"/>
    </row>
    <row r="3" spans="1:3" x14ac:dyDescent="0.3">
      <c r="A3" s="85" t="s">
        <v>24</v>
      </c>
      <c r="B3" s="85"/>
      <c r="C3" s="85"/>
    </row>
    <row r="9" spans="1:3" x14ac:dyDescent="0.3">
      <c r="A9" s="86" t="s">
        <v>29</v>
      </c>
      <c r="B9" s="86"/>
    </row>
    <row r="10" spans="1:3" x14ac:dyDescent="0.3">
      <c r="A10" s="88" t="s">
        <v>27</v>
      </c>
      <c r="B10" s="88">
        <v>10</v>
      </c>
    </row>
    <row r="11" spans="1:3" x14ac:dyDescent="0.3">
      <c r="A11" s="88" t="s">
        <v>28</v>
      </c>
      <c r="B11" s="88">
        <v>8</v>
      </c>
    </row>
    <row r="12" spans="1:3" x14ac:dyDescent="0.3">
      <c r="A12" s="88" t="s">
        <v>25</v>
      </c>
      <c r="B12" s="88">
        <v>15</v>
      </c>
    </row>
    <row r="13" spans="1:3" x14ac:dyDescent="0.3">
      <c r="A13" s="88" t="s">
        <v>26</v>
      </c>
      <c r="B13" s="88">
        <v>25</v>
      </c>
    </row>
    <row r="15" spans="1:3" x14ac:dyDescent="0.3">
      <c r="A15" s="87"/>
      <c r="B15" s="87"/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FuelCostCalc</vt:lpstr>
      <vt:lpstr>PercentChange</vt:lpstr>
      <vt:lpstr>SurfaceArea</vt:lpstr>
    </vt:vector>
  </TitlesOfParts>
  <Company>Learn 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10-05 Student</dc:creator>
  <cp:lastModifiedBy>cara c</cp:lastModifiedBy>
  <dcterms:created xsi:type="dcterms:W3CDTF">2016-07-01T00:49:27Z</dcterms:created>
  <dcterms:modified xsi:type="dcterms:W3CDTF">2016-07-02T00:34:54Z</dcterms:modified>
</cp:coreProperties>
</file>